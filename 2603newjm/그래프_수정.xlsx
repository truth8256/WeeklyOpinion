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ml.chartshapes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7.xml" ContentType="application/vnd.openxmlformats-officedocument.drawingml.chartshapes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8.xml" ContentType="application/vnd.openxmlformats-officedocument.drawingml.chartshapes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0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2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22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odsti.sharepoint.com/sites/2026/Shared Documents/2026 정당학회-한겨레 패널조사 (4-5차)/토론회/"/>
    </mc:Choice>
  </mc:AlternateContent>
  <xr:revisionPtr revIDLastSave="552" documentId="13_ncr:1_{E426FD80-5845-4265-B6A7-AF2E458DD5C1}" xr6:coauthVersionLast="47" xr6:coauthVersionMax="47" xr10:uidLastSave="{3EE85204-276D-4051-B72E-4AE0E2130C07}"/>
  <bookViews>
    <workbookView xWindow="30030" yWindow="1335" windowWidth="27330" windowHeight="13380" tabRatio="771" activeTab="10" xr2:uid="{E410F4C7-6FD6-4BE3-A662-B6CB9E02DB3D}"/>
  </bookViews>
  <sheets>
    <sheet name="4p" sheetId="1" r:id="rId1"/>
    <sheet name="4p표" sheetId="4" r:id="rId2"/>
    <sheet name="6-7p" sheetId="6" r:id="rId3"/>
    <sheet name="8p" sheetId="5" r:id="rId4"/>
    <sheet name="6p, 9p 표" sheetId="7" r:id="rId5"/>
    <sheet name="10p 표" sheetId="9" r:id="rId6"/>
    <sheet name="12p" sheetId="2" r:id="rId7"/>
    <sheet name="13p 표" sheetId="12" r:id="rId8"/>
    <sheet name="14-15p" sheetId="3" r:id="rId9"/>
    <sheet name="16p 표" sheetId="11" r:id="rId10"/>
    <sheet name="Sheet1" sheetId="13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7" i="6" l="1"/>
  <c r="I58" i="7"/>
  <c r="T99" i="7"/>
  <c r="T100" i="7"/>
  <c r="T101" i="7"/>
  <c r="T102" i="7"/>
  <c r="T103" i="7"/>
  <c r="T104" i="7"/>
  <c r="T105" i="7"/>
  <c r="T106" i="7"/>
  <c r="T107" i="7"/>
  <c r="T108" i="7"/>
  <c r="T109" i="7"/>
  <c r="T110" i="7"/>
  <c r="T111" i="7"/>
  <c r="T112" i="7"/>
  <c r="T113" i="7"/>
  <c r="T114" i="7"/>
  <c r="T115" i="7"/>
  <c r="T98" i="7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E107" i="6"/>
  <c r="F107" i="6"/>
  <c r="G107" i="6"/>
  <c r="H107" i="6"/>
  <c r="I107" i="6"/>
  <c r="J107" i="6"/>
  <c r="K107" i="6"/>
  <c r="L107" i="6"/>
  <c r="M107" i="6"/>
  <c r="N107" i="6"/>
  <c r="O107" i="6"/>
  <c r="P107" i="6"/>
  <c r="Q107" i="6"/>
  <c r="R107" i="6"/>
  <c r="S107" i="6"/>
  <c r="T107" i="6"/>
  <c r="U107" i="6"/>
  <c r="D107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3" i="6"/>
</calcChain>
</file>

<file path=xl/sharedStrings.xml><?xml version="1.0" encoding="utf-8"?>
<sst xmlns="http://schemas.openxmlformats.org/spreadsheetml/2006/main" count="756" uniqueCount="281">
  <si>
    <t>패널조사 차수</t>
  </si>
  <si>
    <t>조사 기관</t>
  </si>
  <si>
    <t>조사 기간</t>
  </si>
  <si>
    <t>샘플 수</t>
  </si>
  <si>
    <t>대선 지지후보</t>
  </si>
  <si>
    <t>이재명</t>
  </si>
  <si>
    <t>김문수</t>
  </si>
  <si>
    <t>이준석</t>
  </si>
  <si>
    <t>그 외 후보</t>
  </si>
  <si>
    <t>없음</t>
  </si>
  <si>
    <t>잘 모름</t>
  </si>
  <si>
    <t>1차 조사</t>
  </si>
  <si>
    <t>에스티아이</t>
  </si>
  <si>
    <t>25.5.8-11</t>
  </si>
  <si>
    <t>NBS</t>
  </si>
  <si>
    <t>25.5.12-14</t>
  </si>
  <si>
    <t>3차 조사</t>
  </si>
  <si>
    <t>25.12.17-21</t>
  </si>
  <si>
    <t>25.12.22-24</t>
  </si>
  <si>
    <t>긍정 평가</t>
  </si>
  <si>
    <t>부정 평가</t>
  </si>
  <si>
    <t>에스티아이
(25.5.8-11)</t>
    <phoneticPr fontId="6" type="noConversion"/>
  </si>
  <si>
    <t>NBS
(25.5.12-14)</t>
    <phoneticPr fontId="6" type="noConversion"/>
  </si>
  <si>
    <t>에스티아이
(25.9.3-7)</t>
    <phoneticPr fontId="6" type="noConversion"/>
  </si>
  <si>
    <t>NBS
(25.9.1-3)</t>
    <phoneticPr fontId="6" type="noConversion"/>
  </si>
  <si>
    <t>더불어</t>
  </si>
  <si>
    <t>민주당</t>
  </si>
  <si>
    <t>국민의힘</t>
  </si>
  <si>
    <t>조국혁신당</t>
  </si>
  <si>
    <t>진보당</t>
  </si>
  <si>
    <t>개혁신당</t>
  </si>
  <si>
    <t>그 외</t>
  </si>
  <si>
    <t>정당</t>
  </si>
  <si>
    <t>민주당</t>
    <phoneticPr fontId="6" type="noConversion"/>
  </si>
  <si>
    <t>진보</t>
  </si>
  <si>
    <t>중도</t>
  </si>
  <si>
    <t>보수</t>
  </si>
  <si>
    <t>평균 점수</t>
  </si>
  <si>
    <r>
      <t>1</t>
    </r>
    <r>
      <rPr>
        <sz val="10"/>
        <color rgb="FF000000"/>
        <rFont val="함초롬바탕"/>
        <family val="1"/>
        <charset val="129"/>
      </rPr>
      <t>차</t>
    </r>
  </si>
  <si>
    <r>
      <t>2</t>
    </r>
    <r>
      <rPr>
        <sz val="10"/>
        <color rgb="FF000000"/>
        <rFont val="함초롬바탕"/>
        <family val="1"/>
        <charset val="129"/>
      </rPr>
      <t>차</t>
    </r>
  </si>
  <si>
    <r>
      <t>3</t>
    </r>
    <r>
      <rPr>
        <sz val="10"/>
        <color rgb="FF000000"/>
        <rFont val="함초롬바탕"/>
        <family val="1"/>
        <charset val="129"/>
      </rPr>
      <t>차</t>
    </r>
  </si>
  <si>
    <t>올드이재명</t>
    <phoneticPr fontId="6" type="noConversion"/>
  </si>
  <si>
    <t>뉴이재명</t>
    <phoneticPr fontId="6" type="noConversion"/>
  </si>
  <si>
    <t>1차</t>
  </si>
  <si>
    <t>2차</t>
  </si>
  <si>
    <t>3차</t>
  </si>
  <si>
    <t>기타</t>
  </si>
  <si>
    <t>올드 이재명</t>
  </si>
  <si>
    <t>뉴 이재명</t>
  </si>
  <si>
    <r>
      <t>외교</t>
    </r>
    <r>
      <rPr>
        <sz val="10"/>
        <color rgb="FF000000"/>
        <rFont val="맑은 고딕"/>
        <family val="3"/>
        <charset val="129"/>
        <scheme val="minor"/>
      </rPr>
      <t>/</t>
    </r>
    <r>
      <rPr>
        <sz val="10"/>
        <color rgb="FF000000"/>
        <rFont val="KoPub돋움체 Bold"/>
        <family val="1"/>
        <charset val="129"/>
      </rPr>
      <t>안보</t>
    </r>
    <phoneticPr fontId="6" type="noConversion"/>
  </si>
  <si>
    <r>
      <t>경제</t>
    </r>
    <r>
      <rPr>
        <sz val="10"/>
        <color rgb="FF000000"/>
        <rFont val="맑은 고딕"/>
        <family val="3"/>
        <charset val="129"/>
        <scheme val="minor"/>
      </rPr>
      <t>/</t>
    </r>
    <r>
      <rPr>
        <sz val="10"/>
        <color rgb="FF000000"/>
        <rFont val="KoPub돋움체 Bold"/>
        <family val="1"/>
        <charset val="129"/>
      </rPr>
      <t xml:space="preserve">조세 </t>
    </r>
    <phoneticPr fontId="6" type="noConversion"/>
  </si>
  <si>
    <r>
      <t>복지</t>
    </r>
    <r>
      <rPr>
        <sz val="10"/>
        <color rgb="FF000000"/>
        <rFont val="맑은 고딕"/>
        <family val="3"/>
        <charset val="129"/>
        <scheme val="minor"/>
      </rPr>
      <t>/</t>
    </r>
    <r>
      <rPr>
        <sz val="10"/>
        <color rgb="FF000000"/>
        <rFont val="KoPub돋움체 Bold"/>
        <family val="1"/>
        <charset val="129"/>
      </rPr>
      <t>노동</t>
    </r>
    <phoneticPr fontId="6" type="noConversion"/>
  </si>
  <si>
    <t xml:space="preserve">내란극복 </t>
    <phoneticPr fontId="6" type="noConversion"/>
  </si>
  <si>
    <r>
      <t>정치</t>
    </r>
    <r>
      <rPr>
        <sz val="10"/>
        <color rgb="FF000000"/>
        <rFont val="맑은 고딕"/>
        <family val="3"/>
        <charset val="129"/>
        <scheme val="minor"/>
      </rPr>
      <t>/</t>
    </r>
    <r>
      <rPr>
        <sz val="10"/>
        <color rgb="FF000000"/>
        <rFont val="KoPub돋움체 Bold"/>
        <family val="1"/>
        <charset val="129"/>
      </rPr>
      <t>소통</t>
    </r>
    <phoneticPr fontId="6" type="noConversion"/>
  </si>
  <si>
    <t>기타</t>
    <phoneticPr fontId="6" type="noConversion"/>
  </si>
  <si>
    <t>모름</t>
    <phoneticPr fontId="6" type="noConversion"/>
  </si>
  <si>
    <r>
      <t>외교</t>
    </r>
    <r>
      <rPr>
        <sz val="10"/>
        <color rgb="FF000000"/>
        <rFont val="맑은 고딕"/>
        <family val="3"/>
        <charset val="129"/>
        <scheme val="minor"/>
      </rPr>
      <t>/</t>
    </r>
    <r>
      <rPr>
        <sz val="10"/>
        <color rgb="FF000000"/>
        <rFont val="KoPub돋움체 Bold"/>
        <family val="1"/>
        <charset val="129"/>
      </rPr>
      <t>안보 강화</t>
    </r>
    <phoneticPr fontId="6" type="noConversion"/>
  </si>
  <si>
    <r>
      <t>저출생</t>
    </r>
    <r>
      <rPr>
        <sz val="10"/>
        <color rgb="FF000000"/>
        <rFont val="맑은 고딕"/>
        <family val="3"/>
        <charset val="129"/>
        <scheme val="minor"/>
      </rPr>
      <t xml:space="preserve">/
</t>
    </r>
    <r>
      <rPr>
        <sz val="10"/>
        <color rgb="FF000000"/>
        <rFont val="KoPub돋움체 Bold"/>
        <family val="1"/>
        <charset val="129"/>
      </rPr>
      <t>고령화
대책</t>
    </r>
    <phoneticPr fontId="6" type="noConversion"/>
  </si>
  <si>
    <t>민생경제
회복</t>
    <phoneticPr fontId="6" type="noConversion"/>
  </si>
  <si>
    <t>부동산
시장안정</t>
    <phoneticPr fontId="6" type="noConversion"/>
  </si>
  <si>
    <t>국민통합
및 협치</t>
    <phoneticPr fontId="6" type="noConversion"/>
  </si>
  <si>
    <t>국회</t>
    <phoneticPr fontId="6" type="noConversion"/>
  </si>
  <si>
    <t>헌재</t>
    <phoneticPr fontId="6" type="noConversion"/>
  </si>
  <si>
    <t>선관위</t>
    <phoneticPr fontId="6" type="noConversion"/>
  </si>
  <si>
    <t>법원</t>
    <phoneticPr fontId="6" type="noConversion"/>
  </si>
  <si>
    <t>행정부</t>
    <phoneticPr fontId="6" type="noConversion"/>
  </si>
  <si>
    <t>검찰</t>
    <phoneticPr fontId="6" type="noConversion"/>
  </si>
  <si>
    <t>완전 폐지 찬성</t>
  </si>
  <si>
    <r>
      <t>일부 존치</t>
    </r>
    <r>
      <rPr>
        <sz val="10"/>
        <color rgb="FF000000"/>
        <rFont val="맑은 고딕"/>
        <family val="3"/>
        <charset val="129"/>
        <scheme val="minor"/>
      </rPr>
      <t xml:space="preserve">, </t>
    </r>
    <r>
      <rPr>
        <sz val="10"/>
        <color rgb="FF000000"/>
        <rFont val="KoPub돋움체 Bold"/>
        <family val="1"/>
        <charset val="129"/>
      </rPr>
      <t>폐지 반대</t>
    </r>
  </si>
  <si>
    <t>잘 모르겠다</t>
  </si>
  <si>
    <t>찬성한다</t>
  </si>
  <si>
    <t>반대한다</t>
  </si>
  <si>
    <t>정당 지지율</t>
  </si>
  <si>
    <r>
      <t>1</t>
    </r>
    <r>
      <rPr>
        <sz val="8"/>
        <color rgb="FF000000"/>
        <rFont val="함초롬바탕"/>
        <family val="1"/>
        <charset val="129"/>
      </rPr>
      <t>차 조사</t>
    </r>
  </si>
  <si>
    <r>
      <t>2</t>
    </r>
    <r>
      <rPr>
        <sz val="8"/>
        <color rgb="FF000000"/>
        <rFont val="함초롬바탕"/>
        <family val="1"/>
        <charset val="129"/>
      </rPr>
      <t>차 조사</t>
    </r>
  </si>
  <si>
    <t>25.9.3-7</t>
  </si>
  <si>
    <t>25.9.1-3</t>
  </si>
  <si>
    <r>
      <t>3</t>
    </r>
    <r>
      <rPr>
        <sz val="8"/>
        <color rgb="FF000000"/>
        <rFont val="함초롬바탕"/>
        <family val="1"/>
        <charset val="129"/>
      </rPr>
      <t>차 조사</t>
    </r>
  </si>
  <si>
    <t xml:space="preserve">올드 이재명 </t>
  </si>
  <si>
    <t>2차 조사</t>
    <phoneticPr fontId="6" type="noConversion"/>
  </si>
  <si>
    <t>3차 조사</t>
    <phoneticPr fontId="6" type="noConversion"/>
  </si>
  <si>
    <t>잘함</t>
  </si>
  <si>
    <t>전 체</t>
  </si>
  <si>
    <t>성별</t>
  </si>
  <si>
    <t>남성</t>
  </si>
  <si>
    <t>여성</t>
  </si>
  <si>
    <t>연령</t>
  </si>
  <si>
    <r>
      <t>18~29</t>
    </r>
    <r>
      <rPr>
        <sz val="9"/>
        <color rgb="FF000000"/>
        <rFont val="KoPub돋움체 Medium"/>
        <family val="1"/>
        <charset val="129"/>
      </rPr>
      <t>세</t>
    </r>
  </si>
  <si>
    <r>
      <t>30~39</t>
    </r>
    <r>
      <rPr>
        <sz val="9"/>
        <color rgb="FF000000"/>
        <rFont val="KoPub돋움체 Medium"/>
        <family val="1"/>
        <charset val="129"/>
      </rPr>
      <t>세</t>
    </r>
  </si>
  <si>
    <r>
      <t>40~49</t>
    </r>
    <r>
      <rPr>
        <sz val="9"/>
        <color rgb="FF000000"/>
        <rFont val="KoPub돋움체 Medium"/>
        <family val="1"/>
        <charset val="129"/>
      </rPr>
      <t>세</t>
    </r>
  </si>
  <si>
    <r>
      <t>50~59</t>
    </r>
    <r>
      <rPr>
        <sz val="9"/>
        <color rgb="FF000000"/>
        <rFont val="KoPub돋움체 Medium"/>
        <family val="1"/>
        <charset val="129"/>
      </rPr>
      <t>세</t>
    </r>
  </si>
  <si>
    <r>
      <t>60~69</t>
    </r>
    <r>
      <rPr>
        <sz val="9"/>
        <color rgb="FF000000"/>
        <rFont val="KoPub돋움체 Medium"/>
        <family val="1"/>
        <charset val="129"/>
      </rPr>
      <t>세</t>
    </r>
  </si>
  <si>
    <r>
      <t>70</t>
    </r>
    <r>
      <rPr>
        <sz val="9"/>
        <color rgb="FF000000"/>
        <rFont val="KoPub돋움체 Medium"/>
        <family val="1"/>
        <charset val="129"/>
      </rPr>
      <t>세 이상</t>
    </r>
  </si>
  <si>
    <t>권역</t>
  </si>
  <si>
    <t>서울</t>
  </si>
  <si>
    <t>정치</t>
  </si>
  <si>
    <t>성향</t>
  </si>
  <si>
    <t>지지도</t>
  </si>
  <si>
    <r>
      <t>경기</t>
    </r>
    <r>
      <rPr>
        <sz val="9"/>
        <color rgb="FF000000"/>
        <rFont val="맑은 고딕"/>
        <family val="3"/>
        <charset val="129"/>
        <scheme val="minor"/>
      </rPr>
      <t xml:space="preserve">
</t>
    </r>
    <r>
      <rPr>
        <sz val="9"/>
        <color rgb="FF000000"/>
        <rFont val="KoPub돋움체 Medium"/>
        <family val="1"/>
        <charset val="129"/>
      </rPr>
      <t>인천</t>
    </r>
    <phoneticPr fontId="6" type="noConversion"/>
  </si>
  <si>
    <r>
      <t>대전</t>
    </r>
    <r>
      <rPr>
        <sz val="9"/>
        <color rgb="FF000000"/>
        <rFont val="맑은 고딕"/>
        <family val="3"/>
        <charset val="129"/>
        <scheme val="minor"/>
      </rPr>
      <t xml:space="preserve">
충청
</t>
    </r>
    <r>
      <rPr>
        <sz val="9"/>
        <color rgb="FF000000"/>
        <rFont val="KoPub돋움체 Medium"/>
        <family val="1"/>
        <charset val="129"/>
      </rPr>
      <t>세종</t>
    </r>
    <phoneticPr fontId="6" type="noConversion"/>
  </si>
  <si>
    <r>
      <t>광주</t>
    </r>
    <r>
      <rPr>
        <sz val="9"/>
        <color rgb="FF000000"/>
        <rFont val="맑은 고딕"/>
        <family val="3"/>
        <charset val="129"/>
        <scheme val="minor"/>
      </rPr>
      <t xml:space="preserve">
</t>
    </r>
    <r>
      <rPr>
        <sz val="9"/>
        <color rgb="FF000000"/>
        <rFont val="KoPub돋움체 Medium"/>
        <family val="1"/>
        <charset val="129"/>
      </rPr>
      <t>전북</t>
    </r>
    <r>
      <rPr>
        <sz val="9"/>
        <color rgb="FF000000"/>
        <rFont val="맑은 고딕"/>
        <family val="3"/>
        <charset val="129"/>
        <scheme val="minor"/>
      </rPr>
      <t xml:space="preserve">
</t>
    </r>
    <r>
      <rPr>
        <sz val="9"/>
        <color rgb="FF000000"/>
        <rFont val="KoPub돋움체 Medium"/>
        <family val="1"/>
        <charset val="129"/>
      </rPr>
      <t>전남</t>
    </r>
    <phoneticPr fontId="6" type="noConversion"/>
  </si>
  <si>
    <r>
      <t>대구</t>
    </r>
    <r>
      <rPr>
        <sz val="9"/>
        <color rgb="FF000000"/>
        <rFont val="맑은 고딕"/>
        <family val="3"/>
        <charset val="129"/>
        <scheme val="minor"/>
      </rPr>
      <t xml:space="preserve">
</t>
    </r>
    <r>
      <rPr>
        <sz val="9"/>
        <color rgb="FF000000"/>
        <rFont val="KoPub돋움체 Medium"/>
        <family val="1"/>
        <charset val="129"/>
      </rPr>
      <t>경북</t>
    </r>
    <phoneticPr fontId="6" type="noConversion"/>
  </si>
  <si>
    <r>
      <t>부산</t>
    </r>
    <r>
      <rPr>
        <sz val="9"/>
        <color rgb="FF000000"/>
        <rFont val="맑은 고딕"/>
        <family val="3"/>
        <charset val="129"/>
        <scheme val="minor"/>
      </rPr>
      <t xml:space="preserve">
</t>
    </r>
    <r>
      <rPr>
        <sz val="9"/>
        <color rgb="FF000000"/>
        <rFont val="KoPub돋움체 Medium"/>
        <family val="1"/>
        <charset val="129"/>
      </rPr>
      <t>울산</t>
    </r>
    <r>
      <rPr>
        <sz val="9"/>
        <color rgb="FF000000"/>
        <rFont val="맑은 고딕"/>
        <family val="3"/>
        <charset val="129"/>
        <scheme val="minor"/>
      </rPr>
      <t xml:space="preserve">
</t>
    </r>
    <r>
      <rPr>
        <sz val="9"/>
        <color rgb="FF000000"/>
        <rFont val="KoPub돋움체 Medium"/>
        <family val="1"/>
        <charset val="129"/>
      </rPr>
      <t>경남</t>
    </r>
    <phoneticPr fontId="6" type="noConversion"/>
  </si>
  <si>
    <r>
      <t>강원</t>
    </r>
    <r>
      <rPr>
        <sz val="9"/>
        <color rgb="FF000000"/>
        <rFont val="맑은 고딕"/>
        <family val="3"/>
        <charset val="129"/>
        <scheme val="minor"/>
      </rPr>
      <t xml:space="preserve">
</t>
    </r>
    <r>
      <rPr>
        <sz val="9"/>
        <color rgb="FF000000"/>
        <rFont val="KoPub돋움체 Medium"/>
        <family val="1"/>
        <charset val="129"/>
      </rPr>
      <t>제주</t>
    </r>
    <phoneticPr fontId="6" type="noConversion"/>
  </si>
  <si>
    <t>더불어민주당</t>
    <phoneticPr fontId="6" type="noConversion"/>
  </si>
  <si>
    <t>그 외</t>
    <phoneticPr fontId="6" type="noConversion"/>
  </si>
  <si>
    <t>없음</t>
    <phoneticPr fontId="6" type="noConversion"/>
  </si>
  <si>
    <t>1차 지지층
(25.5)</t>
    <phoneticPr fontId="6" type="noConversion"/>
  </si>
  <si>
    <t>3차 긍정 평가
(25.12)</t>
    <phoneticPr fontId="6" type="noConversion"/>
  </si>
  <si>
    <t>더불어
민주당</t>
    <phoneticPr fontId="6" type="noConversion"/>
  </si>
  <si>
    <t>증감</t>
    <phoneticPr fontId="6" type="noConversion"/>
  </si>
  <si>
    <t>이념
성향</t>
    <phoneticPr fontId="6" type="noConversion"/>
  </si>
  <si>
    <t>지지
정당</t>
    <phoneticPr fontId="6" type="noConversion"/>
  </si>
  <si>
    <t>경기/인천</t>
  </si>
  <si>
    <t>경기/인천</t>
    <phoneticPr fontId="6" type="noConversion"/>
  </si>
  <si>
    <r>
      <t>대전/</t>
    </r>
    <r>
      <rPr>
        <sz val="9"/>
        <color rgb="FF000000"/>
        <rFont val="맑은 고딕"/>
        <family val="3"/>
        <charset val="129"/>
        <scheme val="minor"/>
      </rPr>
      <t>충청/</t>
    </r>
    <r>
      <rPr>
        <sz val="9"/>
        <color rgb="FF000000"/>
        <rFont val="KoPub돋움체 Medium"/>
        <family val="1"/>
        <charset val="129"/>
      </rPr>
      <t>세종</t>
    </r>
    <phoneticPr fontId="6" type="noConversion"/>
  </si>
  <si>
    <t>광주/전북/전남</t>
  </si>
  <si>
    <t>광주/전북/전남</t>
    <phoneticPr fontId="6" type="noConversion"/>
  </si>
  <si>
    <t>대구/경북</t>
  </si>
  <si>
    <t>대구/경북</t>
    <phoneticPr fontId="6" type="noConversion"/>
  </si>
  <si>
    <t>부산/울산/경남</t>
  </si>
  <si>
    <t>부산/울산/경남</t>
    <phoneticPr fontId="6" type="noConversion"/>
  </si>
  <si>
    <t>강원/제주</t>
  </si>
  <si>
    <t>강원/제주</t>
    <phoneticPr fontId="6" type="noConversion"/>
  </si>
  <si>
    <t xml:space="preserve"> </t>
  </si>
  <si>
    <t>남자</t>
  </si>
  <si>
    <t>여자</t>
  </si>
  <si>
    <t>18~29세</t>
  </si>
  <si>
    <t>30~39세</t>
  </si>
  <si>
    <t>40~49세</t>
  </si>
  <si>
    <t>50~59세</t>
  </si>
  <si>
    <t>60~69세</t>
  </si>
  <si>
    <t>70세 이상</t>
  </si>
  <si>
    <t>대전/충북/충남/세종</t>
  </si>
  <si>
    <t>전체</t>
  </si>
  <si>
    <t>이재명 지지층 분류</t>
  </si>
  <si>
    <t>계속지지(OLD)</t>
  </si>
  <si>
    <t>새로지지(NEW)</t>
  </si>
  <si>
    <t>연령</t>
    <phoneticPr fontId="6" type="noConversion"/>
  </si>
  <si>
    <t>지역</t>
    <phoneticPr fontId="6" type="noConversion"/>
  </si>
  <si>
    <t>이념</t>
    <phoneticPr fontId="6" type="noConversion"/>
  </si>
  <si>
    <t>올드 이재명</t>
    <phoneticPr fontId="6" type="noConversion"/>
  </si>
  <si>
    <t>뉴 이재명</t>
    <phoneticPr fontId="6" type="noConversion"/>
  </si>
  <si>
    <t>남성</t>
    <phoneticPr fontId="6" type="noConversion"/>
  </si>
  <si>
    <t>여성</t>
    <phoneticPr fontId="6" type="noConversion"/>
  </si>
  <si>
    <t>올드 이재명
(A)</t>
    <phoneticPr fontId="6" type="noConversion"/>
  </si>
  <si>
    <t>뉴 이재명
(B)</t>
    <phoneticPr fontId="6" type="noConversion"/>
  </si>
  <si>
    <t>B-A</t>
    <phoneticPr fontId="6" type="noConversion"/>
  </si>
  <si>
    <t>대전/충청/세종</t>
    <phoneticPr fontId="6" type="noConversion"/>
  </si>
  <si>
    <r>
      <t>올드</t>
    </r>
    <r>
      <rPr>
        <sz val="12"/>
        <color rgb="FF000000"/>
        <rFont val="Aptos"/>
        <family val="2"/>
      </rPr>
      <t xml:space="preserve"> </t>
    </r>
    <r>
      <rPr>
        <sz val="12"/>
        <color rgb="FF000000"/>
        <rFont val="Arial"/>
        <family val="2"/>
      </rPr>
      <t>이재명</t>
    </r>
  </si>
  <si>
    <t>보증금 없는
월세/사글세</t>
    <phoneticPr fontId="6" type="noConversion"/>
  </si>
  <si>
    <t>전체</t>
    <phoneticPr fontId="6" type="noConversion"/>
  </si>
  <si>
    <t>[2차] 월평균 가구소득</t>
    <phoneticPr fontId="6" type="noConversion"/>
  </si>
  <si>
    <t>[3차] 주택 점유 형태</t>
    <phoneticPr fontId="6" type="noConversion"/>
  </si>
  <si>
    <t>[3차] 투자 자산 규모</t>
    <phoneticPr fontId="6" type="noConversion"/>
  </si>
  <si>
    <t>단위 : %</t>
    <phoneticPr fontId="6" type="noConversion"/>
  </si>
  <si>
    <t>2차 국정운영 지지
 (25.9)</t>
    <phoneticPr fontId="6" type="noConversion"/>
  </si>
  <si>
    <t>5,000만원 미만</t>
    <phoneticPr fontId="6" type="noConversion"/>
  </si>
  <si>
    <t>100만 원 미만</t>
    <phoneticPr fontId="6" type="noConversion"/>
  </si>
  <si>
    <t>1,000만원 미만</t>
    <phoneticPr fontId="6" type="noConversion"/>
  </si>
  <si>
    <t xml:space="preserve">5,000만원 이상 </t>
    <phoneticPr fontId="6" type="noConversion"/>
  </si>
  <si>
    <t>199만원 이하</t>
    <phoneticPr fontId="6" type="noConversion"/>
  </si>
  <si>
    <t>200~399만원</t>
    <phoneticPr fontId="6" type="noConversion"/>
  </si>
  <si>
    <t>400~599만원</t>
    <phoneticPr fontId="6" type="noConversion"/>
  </si>
  <si>
    <t>600~799만원</t>
    <phoneticPr fontId="6" type="noConversion"/>
  </si>
  <si>
    <t>800만원 이상</t>
    <phoneticPr fontId="6" type="noConversion"/>
  </si>
  <si>
    <t>국정</t>
  </si>
  <si>
    <t>지지층</t>
  </si>
  <si>
    <t>잘못함</t>
  </si>
  <si>
    <t>더불어민주당 지도부 측 책임이 더 크다</t>
  </si>
  <si>
    <t>[3차] 더불어민주당 대표 평가</t>
    <phoneticPr fontId="6" type="noConversion"/>
  </si>
  <si>
    <t>[3차] 당정 관계 평가</t>
    <phoneticPr fontId="6" type="noConversion"/>
  </si>
  <si>
    <t>[3차] 당정 관계 원활하지 못한 책임</t>
    <phoneticPr fontId="6" type="noConversion"/>
  </si>
  <si>
    <t>양측 모두 비슷하게 
책임이 있다</t>
    <phoneticPr fontId="6" type="noConversion"/>
  </si>
  <si>
    <t>단위 %</t>
    <phoneticPr fontId="6" type="noConversion"/>
  </si>
  <si>
    <t>⑱ 권오을 (국가보훈부)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</si>
  <si>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</si>
  <si>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</si>
  <si>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</si>
  <si>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</si>
  <si>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</si>
  <si>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</si>
  <si>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</si>
  <si>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</si>
  <si>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</si>
  <si>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⑩</t>
  </si>
  <si>
    <t>⑪</t>
  </si>
  <si>
    <t>⑫</t>
  </si>
  <si>
    <t>⑬</t>
  </si>
  <si>
    <t>⑭</t>
  </si>
  <si>
    <t>⑮</t>
  </si>
  <si>
    <t>⑯</t>
  </si>
  <si>
    <t>⑰</t>
  </si>
  <si>
    <t>⑱</t>
  </si>
  <si>
    <t>⑲</t>
  </si>
  <si>
    <t>김정관 (산업통상부)</t>
  </si>
  <si>
    <t>⑧ 정은경 (보건복지부)</t>
  </si>
  <si>
    <t>① 구윤철 (기획재정부)</t>
  </si>
  <si>
    <t>⑬ 조현 (외교부)</t>
  </si>
  <si>
    <t>⑤ 송미령 (농림축산식품부)</t>
  </si>
  <si>
    <t>⑲ 배경훈 (과학기술정보통신부)</t>
  </si>
  <si>
    <t xml:space="preserve">④ 한성숙 (중소벤처기업부) </t>
  </si>
  <si>
    <t xml:space="preserve">⑩ 김영훈 (고용노동부) </t>
  </si>
  <si>
    <t>⑮ 정성호 (법무부)</t>
  </si>
  <si>
    <t>⑥ 전재수 (해양수산부)</t>
  </si>
  <si>
    <t xml:space="preserve">⑨ 김성환 (기후에너지환경부) </t>
  </si>
  <si>
    <t>⑭ 정동영 (통일부)</t>
  </si>
  <si>
    <t xml:space="preserve">③ 김윤덕 (국토교통부) </t>
  </si>
  <si>
    <t>⑯ 안규백 (국방부)</t>
  </si>
  <si>
    <t xml:space="preserve">⑪ 원민경 (성평등가족부) </t>
  </si>
  <si>
    <t xml:space="preserve">⑦ 최교진 (교육부) </t>
  </si>
  <si>
    <t>⑫ 최휘영 (문화체육관광부)</t>
  </si>
  <si>
    <t xml:space="preserve">⑰ 윤호중 (행정안전부) </t>
  </si>
  <si>
    <t>송미령 (농림축산식품부)</t>
    <phoneticPr fontId="6" type="noConversion"/>
  </si>
  <si>
    <t>조현 (외교부)</t>
    <phoneticPr fontId="6" type="noConversion"/>
  </si>
  <si>
    <t>정은경 (보건복지부)</t>
    <phoneticPr fontId="6" type="noConversion"/>
  </si>
  <si>
    <t xml:space="preserve">김영훈 (고용노동부) </t>
    <phoneticPr fontId="6" type="noConversion"/>
  </si>
  <si>
    <t>구윤철 (기획재정부)</t>
    <phoneticPr fontId="6" type="noConversion"/>
  </si>
  <si>
    <t>배경훈 (과학기술정보통신부)</t>
    <phoneticPr fontId="6" type="noConversion"/>
  </si>
  <si>
    <t>정성호 (법무부)</t>
    <phoneticPr fontId="6" type="noConversion"/>
  </si>
  <si>
    <t xml:space="preserve">한성숙 (중소벤처기업부) </t>
    <phoneticPr fontId="6" type="noConversion"/>
  </si>
  <si>
    <t>1차 대선후보 지지
(25.5)</t>
    <phoneticPr fontId="6" type="noConversion"/>
  </si>
  <si>
    <t>뉴 이재명
(A)</t>
    <phoneticPr fontId="6" type="noConversion"/>
  </si>
  <si>
    <t>올드 이재명
(B)</t>
    <phoneticPr fontId="6" type="noConversion"/>
  </si>
  <si>
    <t>차이
(A-B)</t>
    <phoneticPr fontId="6" type="noConversion"/>
  </si>
  <si>
    <t>[1차]
대선후보 지지</t>
    <phoneticPr fontId="6" type="noConversion"/>
  </si>
  <si>
    <t>[3차]
국정운영 지지</t>
    <phoneticPr fontId="6" type="noConversion"/>
  </si>
  <si>
    <t>자가 (대출없음)</t>
    <phoneticPr fontId="6" type="noConversion"/>
  </si>
  <si>
    <t>자가
(담보 대출 있음)</t>
    <phoneticPr fontId="6" type="noConversion"/>
  </si>
  <si>
    <t>전세
(보증금 대출 없음)</t>
    <phoneticPr fontId="6" type="noConversion"/>
  </si>
  <si>
    <t>전세
(보증금 대출 있음)</t>
    <phoneticPr fontId="6" type="noConversion"/>
  </si>
  <si>
    <t>보증금 있는 월세
(반전세 포함)</t>
    <phoneticPr fontId="6" type="noConversion"/>
  </si>
  <si>
    <t>무상 거주
(부모님 댁, 관사 등)</t>
    <phoneticPr fontId="6" type="noConversion"/>
  </si>
  <si>
    <t>매우
잘못하고 있다</t>
    <phoneticPr fontId="6" type="noConversion"/>
  </si>
  <si>
    <t>잘못하는
편이다</t>
    <phoneticPr fontId="6" type="noConversion"/>
  </si>
  <si>
    <t>잘하는
편이다</t>
    <phoneticPr fontId="6" type="noConversion"/>
  </si>
  <si>
    <t>매우
잘하고 있다</t>
    <phoneticPr fontId="6" type="noConversion"/>
  </si>
  <si>
    <t>잘
모르겠다</t>
    <phoneticPr fontId="6" type="noConversion"/>
  </si>
  <si>
    <t>매우
원활하게
협력했다</t>
    <phoneticPr fontId="6" type="noConversion"/>
  </si>
  <si>
    <t>대체로
원활하게
협력했다</t>
    <phoneticPr fontId="6" type="noConversion"/>
  </si>
  <si>
    <t>별로
원활하지
못했다</t>
    <phoneticPr fontId="6" type="noConversion"/>
  </si>
  <si>
    <t>전혀
원활하지
못했다</t>
    <phoneticPr fontId="6" type="noConversion"/>
  </si>
  <si>
    <t>원활하게
협력함</t>
    <phoneticPr fontId="6" type="noConversion"/>
  </si>
  <si>
    <t>원할하지
못함</t>
    <phoneticPr fontId="6" type="noConversion"/>
  </si>
  <si>
    <t>대통령실(정부) 측
책임이 더 크다</t>
    <phoneticPr fontId="6" type="noConversion"/>
  </si>
  <si>
    <t>사례수</t>
  </si>
  <si>
    <t>매우</t>
  </si>
  <si>
    <t>찬성</t>
  </si>
  <si>
    <t>반대</t>
  </si>
  <si>
    <t>평균</t>
  </si>
  <si>
    <t>표준편차</t>
  </si>
  <si>
    <t>복지확대</t>
    <phoneticPr fontId="6" type="noConversion"/>
  </si>
  <si>
    <t>부자증세</t>
    <phoneticPr fontId="6" type="noConversion"/>
  </si>
  <si>
    <t>최저임금 인상</t>
    <phoneticPr fontId="6" type="noConversion"/>
  </si>
  <si>
    <t>핵무장</t>
    <phoneticPr fontId="6" type="noConversion"/>
  </si>
  <si>
    <t>방위비 분담금 인상</t>
    <phoneticPr fontId="6" type="noConversion"/>
  </si>
  <si>
    <t>차별금지법 제정</t>
    <phoneticPr fontId="6" type="noConversion"/>
  </si>
  <si>
    <t>정책 방향</t>
    <phoneticPr fontId="6" type="noConversion"/>
  </si>
  <si>
    <t>구분</t>
    <phoneticPr fontId="6" type="noConversion"/>
  </si>
  <si>
    <t>찬성</t>
    <phoneticPr fontId="6" type="noConversion"/>
  </si>
  <si>
    <t>반대</t>
    <phoneticPr fontId="6" type="noConversion"/>
  </si>
  <si>
    <t>전체 국민</t>
    <phoneticPr fontId="6" type="noConversion"/>
  </si>
  <si>
    <t>없음/모름</t>
    <phoneticPr fontId="6" type="noConversion"/>
  </si>
  <si>
    <t>잘못하고</t>
  </si>
  <si>
    <t>있다</t>
  </si>
  <si>
    <t>잘못하는</t>
  </si>
  <si>
    <t>편이다</t>
  </si>
  <si>
    <t>잘하는</t>
  </si>
  <si>
    <t>잘하고</t>
  </si>
  <si>
    <t>잘</t>
  </si>
  <si>
    <t>모르겠다</t>
  </si>
  <si>
    <r>
      <t>경기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KoPub돋움체 Medium"/>
        <family val="1"/>
        <charset val="129"/>
      </rPr>
      <t>인천</t>
    </r>
  </si>
  <si>
    <r>
      <t>대전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KoPub돋움체 Medium"/>
        <family val="1"/>
        <charset val="129"/>
      </rPr>
      <t>충북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KoPub돋움체 Medium"/>
        <family val="1"/>
        <charset val="129"/>
      </rPr>
      <t>충남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KoPub돋움체 Medium"/>
        <family val="1"/>
        <charset val="129"/>
      </rPr>
      <t>세종</t>
    </r>
  </si>
  <si>
    <r>
      <t>광주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KoPub돋움체 Medium"/>
        <family val="1"/>
        <charset val="129"/>
      </rPr>
      <t>전북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KoPub돋움체 Medium"/>
        <family val="1"/>
        <charset val="129"/>
      </rPr>
      <t>전남</t>
    </r>
  </si>
  <si>
    <r>
      <t>대구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KoPub돋움체 Medium"/>
        <family val="1"/>
        <charset val="129"/>
      </rPr>
      <t>경북</t>
    </r>
  </si>
  <si>
    <r>
      <t>부산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KoPub돋움체 Medium"/>
        <family val="1"/>
        <charset val="129"/>
      </rPr>
      <t>울산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KoPub돋움체 Medium"/>
        <family val="1"/>
        <charset val="129"/>
      </rPr>
      <t>경남</t>
    </r>
  </si>
  <si>
    <r>
      <t>강원</t>
    </r>
    <r>
      <rPr>
        <sz val="9"/>
        <color rgb="FF000000"/>
        <rFont val="맑은 고딕"/>
        <family val="3"/>
        <charset val="129"/>
        <scheme val="minor"/>
      </rPr>
      <t>/</t>
    </r>
    <r>
      <rPr>
        <sz val="9"/>
        <color rgb="FF000000"/>
        <rFont val="KoPub돋움체 Medium"/>
        <family val="1"/>
        <charset val="129"/>
      </rPr>
      <t>제주</t>
    </r>
  </si>
  <si>
    <t>더불어민주당</t>
  </si>
  <si>
    <t>그 외 정당</t>
  </si>
  <si>
    <t>없다</t>
  </si>
  <si>
    <t>3차 국정운영 지지
(26.1)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</si>
</sst>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.0"/>
    <numFmt numFmtId="177" formatCode="0.0%"/>
    <numFmt numFmtId="178" formatCode="####.0"/>
    <numFmt numFmtId="179" formatCode="0.0_ "/>
    <numFmt numFmtId="180" formatCode="0_ "/>
    <numFmt numFmtId="181" formatCode="0.0_);[Red]\(0.0\)"/>
    <numFmt numFmtId="189" formatCode="0_);[Red]\(0\)"/>
  </numFmts>
  <fonts count="37">
    <font>
      <sz val="11"/>
      <color theme="1"/>
      <name val="맑은 고딕"/>
      <family val="2"/>
      <charset val="129"/>
      <scheme val="minor"/>
    </font>
    <font>
      <sz val="18"/>
      <name val="Arial"/>
      <family val="2"/>
    </font>
    <font>
      <sz val="8"/>
      <color rgb="FF000000"/>
      <name val="함초롬바탕"/>
      <family val="1"/>
      <charset val="129"/>
    </font>
    <font>
      <sz val="8"/>
      <color rgb="FF000000"/>
      <name val="KoPub돋움체 Bold"/>
      <family val="1"/>
      <charset val="129"/>
    </font>
    <font>
      <sz val="7"/>
      <color rgb="FF000000"/>
      <name val="함초롬바탕"/>
      <family val="1"/>
      <charset val="129"/>
    </font>
    <font>
      <sz val="7"/>
      <color rgb="FF000000"/>
      <name val="KoPub돋움체 Bold"/>
      <family val="1"/>
      <charset val="129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rgb="FF000000"/>
      <name val="함초롬바탕"/>
      <family val="1"/>
      <charset val="129"/>
    </font>
    <font>
      <sz val="10"/>
      <color rgb="FF000000"/>
      <name val="KoPub돋움체 Bold"/>
      <family val="1"/>
      <charset val="129"/>
    </font>
    <font>
      <sz val="9"/>
      <color rgb="FF000000"/>
      <name val="KoPub돋움체 Medium"/>
      <family val="1"/>
      <charset val="129"/>
    </font>
    <font>
      <sz val="9"/>
      <color rgb="FF00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9"/>
      <color rgb="FF000000"/>
      <name val="KoPub돋움체 Bold"/>
      <family val="1"/>
      <charset val="129"/>
    </font>
    <font>
      <sz val="10"/>
      <name val="Arial"/>
      <family val="2"/>
    </font>
    <font>
      <sz val="9"/>
      <color indexed="8"/>
      <name val="Gulim"/>
      <family val="3"/>
      <charset val="129"/>
    </font>
    <font>
      <sz val="12"/>
      <color rgb="FF000000"/>
      <name val="Arial"/>
      <family val="2"/>
    </font>
    <font>
      <sz val="12"/>
      <color rgb="FF000000"/>
      <name val="Aptos"/>
      <family val="2"/>
    </font>
    <font>
      <sz val="12"/>
      <color rgb="FF00000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rgb="FF000000"/>
      <name val="a고딕12"/>
      <family val="1"/>
      <charset val="129"/>
    </font>
    <font>
      <sz val="10"/>
      <name val="a고딕16"/>
      <family val="1"/>
      <charset val="129"/>
    </font>
    <font>
      <sz val="10"/>
      <color rgb="FF000000"/>
      <name val="a고딕16"/>
      <family val="1"/>
      <charset val="129"/>
    </font>
    <font>
      <sz val="10"/>
      <color theme="1"/>
      <name val="a고딕16"/>
      <family val="1"/>
      <charset val="129"/>
    </font>
    <font>
      <sz val="12"/>
      <color theme="1"/>
      <name val="a고딕16"/>
      <family val="1"/>
      <charset val="129"/>
    </font>
    <font>
      <sz val="14"/>
      <color theme="1"/>
      <name val="a고딕16"/>
      <family val="1"/>
      <charset val="129"/>
    </font>
    <font>
      <sz val="10"/>
      <color theme="1"/>
      <name val="a고딕12"/>
      <family val="1"/>
      <charset val="129"/>
    </font>
    <font>
      <sz val="8"/>
      <color theme="1"/>
      <name val="a고딕16"/>
      <family val="1"/>
      <charset val="129"/>
    </font>
    <font>
      <sz val="8"/>
      <color rgb="FF000000"/>
      <name val="a고딕16"/>
      <family val="1"/>
      <charset val="129"/>
    </font>
    <font>
      <sz val="8"/>
      <color rgb="FF000000"/>
      <name val="a고딕12"/>
      <family val="1"/>
      <charset val="129"/>
    </font>
    <font>
      <sz val="8"/>
      <color theme="1"/>
      <name val="a고딕12"/>
      <family val="1"/>
      <charset val="129"/>
    </font>
    <font>
      <sz val="8"/>
      <color theme="1"/>
      <name val="맑은 고딕"/>
      <family val="2"/>
      <charset val="129"/>
      <scheme val="minor"/>
    </font>
    <font>
      <sz val="10"/>
      <color rgb="FF000000"/>
      <name val="KoPub돋움체 Light"/>
      <family val="1"/>
      <charset val="129"/>
    </font>
    <font>
      <sz val="14"/>
      <color rgb="FF000000"/>
      <name val="a고딕16"/>
      <family val="1"/>
      <charset val="129"/>
    </font>
    <font>
      <sz val="8"/>
      <color rgb="FF000000"/>
      <name val="a고딕11"/>
      <family val="1"/>
      <charset val="129"/>
    </font>
    <font>
      <sz val="8"/>
      <color theme="1"/>
      <name val="a고딕11"/>
      <family val="1"/>
      <charset val="129"/>
    </font>
    <font>
      <sz val="11"/>
      <color theme="1"/>
      <name val="a고딕16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rgb="FFE4F2F3"/>
        <bgColor indexed="64"/>
      </patternFill>
    </fill>
    <fill>
      <patternFill patternType="solid">
        <fgColor rgb="FFFFE7D8"/>
        <bgColor indexed="64"/>
      </patternFill>
    </fill>
    <fill>
      <patternFill patternType="solid">
        <fgColor rgb="FFCDF2E4"/>
        <bgColor indexed="64"/>
      </patternFill>
    </fill>
    <fill>
      <patternFill patternType="solid">
        <fgColor rgb="FFFFF7CC"/>
        <bgColor indexed="64"/>
      </patternFill>
    </fill>
    <fill>
      <patternFill patternType="solid">
        <fgColor rgb="FFE7F0F7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7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999999"/>
      </right>
      <top style="thick">
        <color rgb="FF999999"/>
      </top>
      <bottom style="thick">
        <color rgb="FF999999"/>
      </bottom>
      <diagonal/>
    </border>
    <border>
      <left/>
      <right style="thin">
        <color rgb="FF999999"/>
      </right>
      <top style="thick">
        <color rgb="FF999999"/>
      </top>
      <bottom/>
      <diagonal/>
    </border>
    <border>
      <left style="thin">
        <color rgb="FF999999"/>
      </left>
      <right style="thin">
        <color rgb="FF999999"/>
      </right>
      <top style="thick">
        <color rgb="FF999999"/>
      </top>
      <bottom style="thick">
        <color rgb="FF999999"/>
      </bottom>
      <diagonal/>
    </border>
    <border>
      <left style="thin">
        <color rgb="FF999999"/>
      </left>
      <right style="thin">
        <color rgb="FF999999"/>
      </right>
      <top style="thick">
        <color rgb="FF999999"/>
      </top>
      <bottom/>
      <diagonal/>
    </border>
    <border>
      <left style="thin">
        <color rgb="FF999999"/>
      </left>
      <right/>
      <top style="thick">
        <color rgb="FF999999"/>
      </top>
      <bottom style="thick">
        <color rgb="FF999999"/>
      </bottom>
      <diagonal/>
    </border>
    <border>
      <left style="thin">
        <color rgb="FF999999"/>
      </left>
      <right/>
      <top style="thick">
        <color rgb="FF999999"/>
      </top>
      <bottom/>
      <diagonal/>
    </border>
    <border>
      <left style="thin">
        <color rgb="FF999999"/>
      </left>
      <right style="thin">
        <color rgb="FF999999"/>
      </right>
      <top style="dotted">
        <color rgb="FF999999"/>
      </top>
      <bottom style="dotted">
        <color rgb="FF999999"/>
      </bottom>
      <diagonal/>
    </border>
    <border>
      <left style="thin">
        <color rgb="FF999999"/>
      </left>
      <right/>
      <top style="dotted">
        <color rgb="FF999999"/>
      </top>
      <bottom style="dotted">
        <color rgb="FF999999"/>
      </bottom>
      <diagonal/>
    </border>
    <border>
      <left style="thin">
        <color rgb="FF999999"/>
      </left>
      <right style="thin">
        <color rgb="FF999999"/>
      </right>
      <top style="dotted">
        <color rgb="FF999999"/>
      </top>
      <bottom style="thin">
        <color rgb="FF999999"/>
      </bottom>
      <diagonal/>
    </border>
    <border>
      <left style="thin">
        <color rgb="FF999999"/>
      </left>
      <right/>
      <top style="dotted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ck">
        <color rgb="FF999999"/>
      </top>
      <bottom style="thick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ck">
        <color rgb="FF999999"/>
      </top>
      <bottom style="dotted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dotted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rgb="FF999999"/>
      </right>
      <top/>
      <bottom style="thick">
        <color rgb="FF999999"/>
      </bottom>
      <diagonal/>
    </border>
    <border>
      <left style="thin">
        <color rgb="FF999999"/>
      </left>
      <right style="thin">
        <color rgb="FF999999"/>
      </right>
      <top/>
      <bottom style="thick">
        <color rgb="FF999999"/>
      </bottom>
      <diagonal/>
    </border>
    <border>
      <left style="thin">
        <color rgb="FF999999"/>
      </left>
      <right style="thin">
        <color rgb="FF999999"/>
      </right>
      <top style="dotted">
        <color rgb="FF999999"/>
      </top>
      <bottom/>
      <diagonal/>
    </border>
    <border>
      <left/>
      <right/>
      <top style="thick">
        <color rgb="FF999999"/>
      </top>
      <bottom/>
      <diagonal/>
    </border>
    <border>
      <left/>
      <right/>
      <top/>
      <bottom style="thick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/>
      <bottom style="thick">
        <color rgb="FF999999"/>
      </bottom>
      <diagonal/>
    </border>
    <border>
      <left style="thin">
        <color rgb="FF999999"/>
      </left>
      <right/>
      <top style="thick">
        <color rgb="FF999999"/>
      </top>
      <bottom style="dotted">
        <color rgb="FF999999"/>
      </bottom>
      <diagonal/>
    </border>
    <border>
      <left style="thin">
        <color rgb="FF999999"/>
      </left>
      <right/>
      <top style="thin">
        <color rgb="FF999999"/>
      </top>
      <bottom style="dotted">
        <color rgb="FF999999"/>
      </bottom>
      <diagonal/>
    </border>
  </borders>
  <cellStyleXfs count="2">
    <xf numFmtId="0" fontId="0" fillId="0" borderId="0">
      <alignment vertical="center"/>
    </xf>
    <xf numFmtId="0" fontId="14" fillId="0" borderId="0"/>
  </cellStyleXfs>
  <cellXfs count="27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1" fontId="3" fillId="0" borderId="1" xfId="0" applyNumberFormat="1" applyFont="1" applyBorder="1" applyAlignment="1">
      <alignment horizontal="center" vertical="center" wrapText="1" readingOrder="1"/>
    </xf>
    <xf numFmtId="1" fontId="4" fillId="0" borderId="1" xfId="0" applyNumberFormat="1" applyFont="1" applyBorder="1" applyAlignment="1">
      <alignment horizontal="center" vertical="center" wrapText="1" readingOrder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justify" vertical="center" wrapText="1" readingOrder="1"/>
    </xf>
    <xf numFmtId="0" fontId="10" fillId="0" borderId="1" xfId="0" applyFont="1" applyBorder="1" applyAlignment="1">
      <alignment horizontal="center" vertical="center" wrapText="1" readingOrder="1"/>
    </xf>
    <xf numFmtId="1" fontId="8" fillId="0" borderId="1" xfId="0" applyNumberFormat="1" applyFont="1" applyBorder="1" applyAlignment="1">
      <alignment horizontal="justify" vertical="center" wrapText="1" readingOrder="1"/>
    </xf>
    <xf numFmtId="1" fontId="10" fillId="0" borderId="1" xfId="0" applyNumberFormat="1" applyFont="1" applyBorder="1" applyAlignment="1">
      <alignment horizontal="center" vertical="center" wrapText="1" readingOrder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10" fillId="0" borderId="16" xfId="0" applyFont="1" applyBorder="1" applyAlignment="1">
      <alignment horizontal="justify" vertical="center" wrapText="1"/>
    </xf>
    <xf numFmtId="0" fontId="10" fillId="0" borderId="18" xfId="0" applyFont="1" applyBorder="1" applyAlignment="1">
      <alignment horizontal="justify" vertical="center" wrapText="1"/>
    </xf>
    <xf numFmtId="0" fontId="7" fillId="2" borderId="11" xfId="0" applyFont="1" applyFill="1" applyBorder="1" applyAlignment="1">
      <alignment horizontal="center" vertical="center" wrapText="1"/>
    </xf>
    <xf numFmtId="1" fontId="11" fillId="0" borderId="16" xfId="0" applyNumberFormat="1" applyFont="1" applyBorder="1" applyAlignment="1">
      <alignment horizontal="center" vertical="center" wrapText="1"/>
    </xf>
    <xf numFmtId="1" fontId="11" fillId="0" borderId="17" xfId="0" applyNumberFormat="1" applyFont="1" applyBorder="1" applyAlignment="1">
      <alignment horizontal="center" vertical="center" wrapText="1"/>
    </xf>
    <xf numFmtId="1" fontId="11" fillId="0" borderId="18" xfId="0" applyNumberFormat="1" applyFont="1" applyBorder="1" applyAlignment="1">
      <alignment horizontal="center" vertical="center" wrapText="1"/>
    </xf>
    <xf numFmtId="1" fontId="11" fillId="0" borderId="19" xfId="0" applyNumberFormat="1" applyFont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176" fontId="11" fillId="3" borderId="16" xfId="0" applyNumberFormat="1" applyFont="1" applyFill="1" applyBorder="1" applyAlignment="1">
      <alignment horizontal="center" vertical="center" wrapText="1"/>
    </xf>
    <xf numFmtId="176" fontId="11" fillId="3" borderId="18" xfId="0" applyNumberFormat="1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 readingOrder="1"/>
    </xf>
    <xf numFmtId="177" fontId="8" fillId="0" borderId="1" xfId="0" applyNumberFormat="1" applyFont="1" applyBorder="1" applyAlignment="1">
      <alignment horizontal="center" vertical="center" wrapText="1" readingOrder="1"/>
    </xf>
    <xf numFmtId="0" fontId="9" fillId="4" borderId="12" xfId="0" applyFont="1" applyFill="1" applyBorder="1" applyAlignment="1">
      <alignment horizontal="center" vertical="center" wrapText="1"/>
    </xf>
    <xf numFmtId="0" fontId="10" fillId="0" borderId="23" xfId="0" applyFont="1" applyBorder="1" applyAlignment="1">
      <alignment horizontal="justify" vertical="center" wrapText="1"/>
    </xf>
    <xf numFmtId="0" fontId="11" fillId="0" borderId="18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1" fillId="0" borderId="26" xfId="0" applyFont="1" applyBorder="1" applyAlignment="1">
      <alignment horizontal="justify" vertical="center" wrapText="1"/>
    </xf>
    <xf numFmtId="0" fontId="11" fillId="0" borderId="16" xfId="0" applyFont="1" applyBorder="1" applyAlignment="1">
      <alignment horizontal="justify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justify" vertical="center" wrapText="1"/>
    </xf>
    <xf numFmtId="0" fontId="10" fillId="0" borderId="26" xfId="0" applyFont="1" applyBorder="1" applyAlignment="1">
      <alignment horizontal="justify" vertical="center" wrapText="1"/>
    </xf>
    <xf numFmtId="0" fontId="0" fillId="0" borderId="0" xfId="0" applyAlignment="1">
      <alignment vertical="center" wrapText="1"/>
    </xf>
    <xf numFmtId="0" fontId="10" fillId="0" borderId="25" xfId="0" applyFont="1" applyBorder="1" applyAlignment="1">
      <alignment horizontal="center" vertical="center" wrapText="1"/>
    </xf>
    <xf numFmtId="0" fontId="0" fillId="0" borderId="22" xfId="0" applyBorder="1" applyAlignment="1">
      <alignment vertical="center" wrapText="1"/>
    </xf>
    <xf numFmtId="0" fontId="0" fillId="0" borderId="25" xfId="0" applyBorder="1" applyAlignment="1">
      <alignment vertical="center" wrapText="1"/>
    </xf>
    <xf numFmtId="0" fontId="10" fillId="0" borderId="22" xfId="0" applyFont="1" applyBorder="1" applyAlignment="1">
      <alignment horizontal="center" vertical="center" wrapText="1"/>
    </xf>
    <xf numFmtId="1" fontId="0" fillId="0" borderId="0" xfId="0" applyNumberFormat="1">
      <alignment vertical="center"/>
    </xf>
    <xf numFmtId="176" fontId="0" fillId="0" borderId="0" xfId="0" applyNumberFormat="1">
      <alignment vertical="center"/>
    </xf>
    <xf numFmtId="1" fontId="13" fillId="5" borderId="12" xfId="0" applyNumberFormat="1" applyFont="1" applyFill="1" applyBorder="1" applyAlignment="1">
      <alignment horizontal="center" vertical="center" wrapText="1"/>
    </xf>
    <xf numFmtId="1" fontId="13" fillId="4" borderId="12" xfId="0" applyNumberFormat="1" applyFont="1" applyFill="1" applyBorder="1" applyAlignment="1">
      <alignment horizontal="center" vertical="center" wrapText="1"/>
    </xf>
    <xf numFmtId="1" fontId="11" fillId="4" borderId="12" xfId="0" applyNumberFormat="1" applyFont="1" applyFill="1" applyBorder="1" applyAlignment="1">
      <alignment horizontal="center" vertical="center" wrapText="1"/>
    </xf>
    <xf numFmtId="1" fontId="11" fillId="0" borderId="23" xfId="0" applyNumberFormat="1" applyFont="1" applyBorder="1" applyAlignment="1">
      <alignment horizontal="center" vertical="center" wrapText="1"/>
    </xf>
    <xf numFmtId="1" fontId="10" fillId="4" borderId="23" xfId="0" applyNumberFormat="1" applyFont="1" applyFill="1" applyBorder="1" applyAlignment="1">
      <alignment horizontal="center" vertical="center" wrapText="1"/>
    </xf>
    <xf numFmtId="1" fontId="11" fillId="4" borderId="23" xfId="0" applyNumberFormat="1" applyFont="1" applyFill="1" applyBorder="1" applyAlignment="1">
      <alignment horizontal="center" vertical="center" wrapText="1"/>
    </xf>
    <xf numFmtId="1" fontId="10" fillId="4" borderId="18" xfId="0" applyNumberFormat="1" applyFont="1" applyFill="1" applyBorder="1" applyAlignment="1">
      <alignment horizontal="center" vertical="center" wrapText="1"/>
    </xf>
    <xf numFmtId="1" fontId="11" fillId="4" borderId="18" xfId="0" applyNumberFormat="1" applyFont="1" applyFill="1" applyBorder="1" applyAlignment="1">
      <alignment horizontal="center" vertical="center" wrapText="1"/>
    </xf>
    <xf numFmtId="1" fontId="11" fillId="0" borderId="26" xfId="0" applyNumberFormat="1" applyFont="1" applyBorder="1" applyAlignment="1">
      <alignment horizontal="center" vertical="center" wrapText="1"/>
    </xf>
    <xf numFmtId="1" fontId="10" fillId="4" borderId="26" xfId="0" applyNumberFormat="1" applyFont="1" applyFill="1" applyBorder="1" applyAlignment="1">
      <alignment horizontal="center" vertical="center" wrapText="1"/>
    </xf>
    <xf numFmtId="1" fontId="11" fillId="4" borderId="26" xfId="0" applyNumberFormat="1" applyFont="1" applyFill="1" applyBorder="1" applyAlignment="1">
      <alignment horizontal="center" vertical="center" wrapText="1"/>
    </xf>
    <xf numFmtId="1" fontId="10" fillId="4" borderId="16" xfId="0" applyNumberFormat="1" applyFont="1" applyFill="1" applyBorder="1" applyAlignment="1">
      <alignment horizontal="center" vertical="center" wrapText="1"/>
    </xf>
    <xf numFmtId="1" fontId="11" fillId="4" borderId="16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1" fontId="13" fillId="5" borderId="27" xfId="0" applyNumberFormat="1" applyFont="1" applyFill="1" applyBorder="1" applyAlignment="1">
      <alignment horizontal="center" vertical="center" wrapText="1"/>
    </xf>
    <xf numFmtId="1" fontId="11" fillId="4" borderId="27" xfId="0" applyNumberFormat="1" applyFont="1" applyFill="1" applyBorder="1" applyAlignment="1">
      <alignment horizontal="center" vertical="center" wrapText="1"/>
    </xf>
    <xf numFmtId="1" fontId="0" fillId="0" borderId="27" xfId="0" applyNumberFormat="1" applyBorder="1">
      <alignment vertical="center"/>
    </xf>
    <xf numFmtId="1" fontId="11" fillId="0" borderId="27" xfId="0" applyNumberFormat="1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5" fillId="0" borderId="38" xfId="1" applyFont="1" applyBorder="1" applyAlignment="1">
      <alignment horizontal="center" wrapText="1"/>
    </xf>
    <xf numFmtId="0" fontId="15" fillId="0" borderId="39" xfId="1" applyFont="1" applyBorder="1" applyAlignment="1">
      <alignment horizontal="center" wrapText="1"/>
    </xf>
    <xf numFmtId="0" fontId="15" fillId="0" borderId="42" xfId="1" applyFont="1" applyBorder="1" applyAlignment="1">
      <alignment horizontal="center" vertical="top" wrapText="1"/>
    </xf>
    <xf numFmtId="0" fontId="15" fillId="0" borderId="30" xfId="1" applyFont="1" applyBorder="1" applyAlignment="1">
      <alignment horizontal="center" vertical="top" wrapText="1"/>
    </xf>
    <xf numFmtId="178" fontId="15" fillId="0" borderId="43" xfId="1" applyNumberFormat="1" applyFont="1" applyBorder="1" applyAlignment="1">
      <alignment horizontal="center" vertical="top"/>
    </xf>
    <xf numFmtId="178" fontId="15" fillId="0" borderId="44" xfId="1" applyNumberFormat="1" applyFont="1" applyBorder="1" applyAlignment="1">
      <alignment horizontal="center" vertical="top"/>
    </xf>
    <xf numFmtId="0" fontId="15" fillId="0" borderId="37" xfId="1" applyFont="1" applyBorder="1" applyAlignment="1">
      <alignment horizontal="center" vertical="top" wrapText="1"/>
    </xf>
    <xf numFmtId="178" fontId="15" fillId="0" borderId="45" xfId="1" applyNumberFormat="1" applyFont="1" applyBorder="1" applyAlignment="1">
      <alignment horizontal="center" vertical="top"/>
    </xf>
    <xf numFmtId="178" fontId="15" fillId="0" borderId="46" xfId="1" applyNumberFormat="1" applyFont="1" applyBorder="1" applyAlignment="1">
      <alignment horizontal="center" vertical="top"/>
    </xf>
    <xf numFmtId="0" fontId="15" fillId="0" borderId="41" xfId="1" applyFont="1" applyBorder="1" applyAlignment="1">
      <alignment horizontal="center" vertical="top" wrapText="1"/>
    </xf>
    <xf numFmtId="178" fontId="15" fillId="0" borderId="47" xfId="1" applyNumberFormat="1" applyFont="1" applyBorder="1" applyAlignment="1">
      <alignment horizontal="center" vertical="top"/>
    </xf>
    <xf numFmtId="178" fontId="15" fillId="0" borderId="48" xfId="1" applyNumberFormat="1" applyFont="1" applyBorder="1" applyAlignment="1">
      <alignment horizontal="center" vertical="top"/>
    </xf>
    <xf numFmtId="179" fontId="0" fillId="0" borderId="0" xfId="0" applyNumberFormat="1">
      <alignment vertical="center"/>
    </xf>
    <xf numFmtId="0" fontId="15" fillId="0" borderId="27" xfId="1" applyFont="1" applyBorder="1" applyAlignment="1">
      <alignment horizontal="center" wrapText="1"/>
    </xf>
    <xf numFmtId="178" fontId="15" fillId="0" borderId="27" xfId="1" applyNumberFormat="1" applyFont="1" applyBorder="1" applyAlignment="1">
      <alignment horizontal="center" vertical="top"/>
    </xf>
    <xf numFmtId="179" fontId="0" fillId="0" borderId="50" xfId="0" applyNumberFormat="1" applyBorder="1">
      <alignment vertical="center"/>
    </xf>
    <xf numFmtId="0" fontId="0" fillId="0" borderId="27" xfId="0" applyBorder="1">
      <alignment vertical="center"/>
    </xf>
    <xf numFmtId="180" fontId="0" fillId="0" borderId="50" xfId="0" applyNumberFormat="1" applyBorder="1">
      <alignment vertical="center"/>
    </xf>
    <xf numFmtId="0" fontId="0" fillId="0" borderId="53" xfId="0" applyBorder="1">
      <alignment vertical="center"/>
    </xf>
    <xf numFmtId="0" fontId="16" fillId="6" borderId="54" xfId="0" applyFont="1" applyFill="1" applyBorder="1" applyAlignment="1">
      <alignment horizontal="center" vertical="center" wrapText="1" readingOrder="1"/>
    </xf>
    <xf numFmtId="0" fontId="18" fillId="6" borderId="54" xfId="0" applyFont="1" applyFill="1" applyBorder="1" applyAlignment="1">
      <alignment horizontal="center" vertical="center" wrapText="1" readingOrder="1"/>
    </xf>
    <xf numFmtId="176" fontId="17" fillId="6" borderId="54" xfId="0" applyNumberFormat="1" applyFont="1" applyFill="1" applyBorder="1" applyAlignment="1">
      <alignment horizontal="center" vertical="center" wrapText="1" readingOrder="1"/>
    </xf>
    <xf numFmtId="0" fontId="0" fillId="0" borderId="53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24" fillId="0" borderId="58" xfId="0" applyFont="1" applyBorder="1" applyAlignment="1">
      <alignment horizontal="left" vertical="center"/>
    </xf>
    <xf numFmtId="0" fontId="26" fillId="0" borderId="58" xfId="0" applyFont="1" applyBorder="1" applyAlignment="1">
      <alignment horizontal="center" vertical="center"/>
    </xf>
    <xf numFmtId="0" fontId="23" fillId="0" borderId="58" xfId="0" applyFont="1" applyBorder="1" applyAlignment="1">
      <alignment horizontal="left" vertical="center"/>
    </xf>
    <xf numFmtId="0" fontId="19" fillId="0" borderId="53" xfId="0" applyFont="1" applyBorder="1" applyAlignment="1">
      <alignment horizontal="center" vertical="center"/>
    </xf>
    <xf numFmtId="0" fontId="19" fillId="0" borderId="58" xfId="0" applyFont="1" applyBorder="1" applyAlignment="1">
      <alignment horizontal="center" vertical="center"/>
    </xf>
    <xf numFmtId="0" fontId="19" fillId="0" borderId="57" xfId="0" applyFont="1" applyBorder="1" applyAlignment="1">
      <alignment horizontal="center" vertical="center"/>
    </xf>
    <xf numFmtId="0" fontId="19" fillId="0" borderId="59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31" fillId="0" borderId="57" xfId="0" applyFont="1" applyBorder="1" applyAlignment="1">
      <alignment horizontal="center" vertical="center"/>
    </xf>
    <xf numFmtId="0" fontId="31" fillId="0" borderId="5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9" fillId="2" borderId="55" xfId="0" applyFont="1" applyFill="1" applyBorder="1" applyAlignment="1">
      <alignment horizontal="center" vertical="center" wrapText="1"/>
    </xf>
    <xf numFmtId="0" fontId="0" fillId="0" borderId="56" xfId="0" applyBorder="1">
      <alignment vertical="center"/>
    </xf>
    <xf numFmtId="0" fontId="0" fillId="0" borderId="57" xfId="0" applyBorder="1">
      <alignment vertical="center"/>
    </xf>
    <xf numFmtId="0" fontId="19" fillId="0" borderId="53" xfId="0" applyFont="1" applyBorder="1">
      <alignment vertical="center"/>
    </xf>
    <xf numFmtId="0" fontId="19" fillId="0" borderId="58" xfId="0" applyFont="1" applyBorder="1">
      <alignment vertical="center"/>
    </xf>
    <xf numFmtId="0" fontId="19" fillId="0" borderId="57" xfId="0" applyFont="1" applyBorder="1">
      <alignment vertical="center"/>
    </xf>
    <xf numFmtId="0" fontId="19" fillId="0" borderId="59" xfId="0" applyFont="1" applyBorder="1">
      <alignment vertical="center"/>
    </xf>
    <xf numFmtId="0" fontId="32" fillId="0" borderId="0" xfId="0" applyFont="1" applyAlignment="1">
      <alignment horizontal="left" vertical="center"/>
    </xf>
    <xf numFmtId="0" fontId="9" fillId="2" borderId="0" xfId="0" applyFont="1" applyFill="1" applyAlignment="1">
      <alignment horizontal="center" vertical="center" wrapText="1"/>
    </xf>
    <xf numFmtId="0" fontId="32" fillId="0" borderId="12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center" vertical="center" wrapText="1" readingOrder="1"/>
    </xf>
    <xf numFmtId="176" fontId="11" fillId="0" borderId="16" xfId="0" applyNumberFormat="1" applyFont="1" applyBorder="1" applyAlignment="1">
      <alignment horizontal="center" vertical="center" wrapText="1"/>
    </xf>
    <xf numFmtId="176" fontId="11" fillId="0" borderId="17" xfId="0" applyNumberFormat="1" applyFont="1" applyBorder="1" applyAlignment="1">
      <alignment horizontal="center" vertical="center" wrapText="1"/>
    </xf>
    <xf numFmtId="176" fontId="11" fillId="0" borderId="18" xfId="0" applyNumberFormat="1" applyFont="1" applyBorder="1" applyAlignment="1">
      <alignment horizontal="center" vertical="center" wrapText="1"/>
    </xf>
    <xf numFmtId="176" fontId="11" fillId="0" borderId="19" xfId="0" applyNumberFormat="1" applyFont="1" applyBorder="1" applyAlignment="1">
      <alignment horizontal="center" vertical="center" wrapText="1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28" fillId="8" borderId="61" xfId="0" applyFont="1" applyFill="1" applyBorder="1" applyAlignment="1">
      <alignment horizontal="center" vertical="center" wrapText="1"/>
    </xf>
    <xf numFmtId="1" fontId="28" fillId="7" borderId="61" xfId="0" applyNumberFormat="1" applyFont="1" applyFill="1" applyBorder="1" applyAlignment="1">
      <alignment horizontal="center" vertical="center" wrapText="1"/>
    </xf>
    <xf numFmtId="1" fontId="27" fillId="7" borderId="61" xfId="0" applyNumberFormat="1" applyFont="1" applyFill="1" applyBorder="1">
      <alignment vertical="center"/>
    </xf>
    <xf numFmtId="0" fontId="29" fillId="0" borderId="61" xfId="0" applyFont="1" applyBorder="1" applyAlignment="1">
      <alignment horizontal="center" vertical="center" wrapText="1"/>
    </xf>
    <xf numFmtId="1" fontId="29" fillId="0" borderId="61" xfId="0" applyNumberFormat="1" applyFont="1" applyBorder="1" applyAlignment="1">
      <alignment horizontal="center" vertical="center" wrapText="1"/>
    </xf>
    <xf numFmtId="1" fontId="29" fillId="9" borderId="61" xfId="0" applyNumberFormat="1" applyFont="1" applyFill="1" applyBorder="1" applyAlignment="1">
      <alignment horizontal="center" vertical="center" wrapText="1"/>
    </xf>
    <xf numFmtId="1" fontId="30" fillId="0" borderId="61" xfId="0" applyNumberFormat="1" applyFont="1" applyBorder="1">
      <alignment vertical="center"/>
    </xf>
    <xf numFmtId="0" fontId="22" fillId="8" borderId="61" xfId="0" applyFont="1" applyFill="1" applyBorder="1" applyAlignment="1">
      <alignment horizontal="center" vertical="center" wrapText="1"/>
    </xf>
    <xf numFmtId="0" fontId="20" fillId="0" borderId="61" xfId="0" applyFont="1" applyBorder="1" applyAlignment="1">
      <alignment horizontal="center" vertical="center" wrapText="1"/>
    </xf>
    <xf numFmtId="0" fontId="34" fillId="0" borderId="61" xfId="0" applyFont="1" applyBorder="1" applyAlignment="1">
      <alignment horizontal="center" vertical="center" wrapText="1"/>
    </xf>
    <xf numFmtId="176" fontId="34" fillId="9" borderId="61" xfId="0" applyNumberFormat="1" applyFont="1" applyFill="1" applyBorder="1" applyAlignment="1">
      <alignment horizontal="center" vertical="center" wrapText="1"/>
    </xf>
    <xf numFmtId="176" fontId="34" fillId="0" borderId="61" xfId="0" applyNumberFormat="1" applyFont="1" applyBorder="1" applyAlignment="1">
      <alignment horizontal="center" vertical="center" wrapText="1"/>
    </xf>
    <xf numFmtId="176" fontId="35" fillId="0" borderId="61" xfId="0" applyNumberFormat="1" applyFont="1" applyBorder="1">
      <alignment vertical="center"/>
    </xf>
    <xf numFmtId="0" fontId="21" fillId="8" borderId="61" xfId="0" applyFont="1" applyFill="1" applyBorder="1" applyAlignment="1">
      <alignment horizontal="center" vertical="center" wrapText="1"/>
    </xf>
    <xf numFmtId="0" fontId="22" fillId="8" borderId="61" xfId="0" applyFont="1" applyFill="1" applyBorder="1" applyAlignment="1">
      <alignment horizontal="center" vertical="center" wrapText="1" readingOrder="1"/>
    </xf>
    <xf numFmtId="0" fontId="20" fillId="0" borderId="61" xfId="0" applyFont="1" applyBorder="1" applyAlignment="1">
      <alignment horizontal="center" vertical="center" wrapText="1" readingOrder="1"/>
    </xf>
    <xf numFmtId="176" fontId="20" fillId="0" borderId="61" xfId="0" applyNumberFormat="1" applyFont="1" applyBorder="1" applyAlignment="1">
      <alignment horizontal="center" vertical="center" wrapText="1" readingOrder="1"/>
    </xf>
    <xf numFmtId="181" fontId="20" fillId="0" borderId="61" xfId="0" applyNumberFormat="1" applyFont="1" applyBorder="1" applyAlignment="1">
      <alignment horizontal="center" vertical="center" wrapText="1" readingOrder="1"/>
    </xf>
    <xf numFmtId="0" fontId="20" fillId="9" borderId="61" xfId="0" applyFont="1" applyFill="1" applyBorder="1" applyAlignment="1">
      <alignment horizontal="center" vertical="center" wrapText="1" readingOrder="1"/>
    </xf>
    <xf numFmtId="176" fontId="20" fillId="9" borderId="61" xfId="0" applyNumberFormat="1" applyFont="1" applyFill="1" applyBorder="1" applyAlignment="1">
      <alignment horizontal="center" vertical="center" wrapText="1" readingOrder="1"/>
    </xf>
    <xf numFmtId="181" fontId="20" fillId="9" borderId="61" xfId="0" applyNumberFormat="1" applyFont="1" applyFill="1" applyBorder="1" applyAlignment="1">
      <alignment horizontal="center" vertical="center" wrapText="1" readingOrder="1"/>
    </xf>
    <xf numFmtId="0" fontId="22" fillId="0" borderId="61" xfId="0" applyFont="1" applyBorder="1" applyAlignment="1">
      <alignment horizontal="center" vertical="center" wrapText="1" readingOrder="1"/>
    </xf>
    <xf numFmtId="176" fontId="22" fillId="0" borderId="61" xfId="0" applyNumberFormat="1" applyFont="1" applyBorder="1" applyAlignment="1">
      <alignment horizontal="center" vertical="center" wrapText="1" readingOrder="1"/>
    </xf>
    <xf numFmtId="181" fontId="22" fillId="0" borderId="61" xfId="0" applyNumberFormat="1" applyFont="1" applyBorder="1" applyAlignment="1">
      <alignment horizontal="center" vertical="center" wrapText="1" readingOrder="1"/>
    </xf>
    <xf numFmtId="0" fontId="22" fillId="0" borderId="61" xfId="0" applyFont="1" applyBorder="1" applyAlignment="1">
      <alignment horizontal="center" vertical="center" wrapText="1"/>
    </xf>
    <xf numFmtId="0" fontId="20" fillId="9" borderId="61" xfId="0" applyFont="1" applyFill="1" applyBorder="1" applyAlignment="1">
      <alignment horizontal="center" vertical="center" wrapText="1"/>
    </xf>
    <xf numFmtId="176" fontId="22" fillId="0" borderId="61" xfId="0" applyNumberFormat="1" applyFont="1" applyBorder="1" applyAlignment="1">
      <alignment horizontal="center" vertical="center" wrapText="1"/>
    </xf>
    <xf numFmtId="176" fontId="22" fillId="7" borderId="61" xfId="0" applyNumberFormat="1" applyFont="1" applyFill="1" applyBorder="1" applyAlignment="1">
      <alignment horizontal="center" vertical="center" wrapText="1"/>
    </xf>
    <xf numFmtId="176" fontId="20" fillId="0" borderId="61" xfId="0" applyNumberFormat="1" applyFont="1" applyBorder="1" applyAlignment="1">
      <alignment horizontal="center" vertical="center" wrapText="1"/>
    </xf>
    <xf numFmtId="176" fontId="20" fillId="7" borderId="61" xfId="0" applyNumberFormat="1" applyFont="1" applyFill="1" applyBorder="1" applyAlignment="1">
      <alignment horizontal="center" vertical="center" wrapText="1"/>
    </xf>
    <xf numFmtId="176" fontId="20" fillId="9" borderId="61" xfId="0" applyNumberFormat="1" applyFont="1" applyFill="1" applyBorder="1" applyAlignment="1">
      <alignment horizontal="center" vertical="center" wrapText="1"/>
    </xf>
    <xf numFmtId="0" fontId="20" fillId="7" borderId="60" xfId="0" applyFont="1" applyFill="1" applyBorder="1" applyAlignment="1">
      <alignment horizontal="center" vertical="center"/>
    </xf>
    <xf numFmtId="0" fontId="20" fillId="7" borderId="60" xfId="0" applyFont="1" applyFill="1" applyBorder="1" applyAlignment="1">
      <alignment horizontal="center" vertical="center" wrapText="1"/>
    </xf>
    <xf numFmtId="176" fontId="20" fillId="7" borderId="60" xfId="0" applyNumberFormat="1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 readingOrder="1"/>
    </xf>
    <xf numFmtId="0" fontId="3" fillId="0" borderId="3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5" borderId="10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5" xfId="0" applyFont="1" applyBorder="1" applyAlignment="1">
      <alignment horizontal="center" vertical="center" wrapText="1"/>
    </xf>
    <xf numFmtId="0" fontId="15" fillId="0" borderId="33" xfId="1" applyFont="1" applyBorder="1" applyAlignment="1">
      <alignment horizontal="center" wrapText="1"/>
    </xf>
    <xf numFmtId="0" fontId="14" fillId="0" borderId="31" xfId="1" applyBorder="1" applyAlignment="1">
      <alignment horizontal="center" vertical="center"/>
    </xf>
    <xf numFmtId="0" fontId="14" fillId="0" borderId="32" xfId="1" applyBorder="1" applyAlignment="1">
      <alignment horizontal="center" vertical="center"/>
    </xf>
    <xf numFmtId="0" fontId="15" fillId="0" borderId="34" xfId="1" applyFont="1" applyBorder="1" applyAlignment="1">
      <alignment horizontal="center" wrapText="1"/>
    </xf>
    <xf numFmtId="0" fontId="14" fillId="0" borderId="35" xfId="1" applyBorder="1" applyAlignment="1">
      <alignment horizontal="center" vertical="center"/>
    </xf>
    <xf numFmtId="0" fontId="15" fillId="0" borderId="40" xfId="1" applyFont="1" applyBorder="1" applyAlignment="1">
      <alignment horizontal="center" vertical="top" wrapText="1"/>
    </xf>
    <xf numFmtId="0" fontId="14" fillId="0" borderId="40" xfId="1" applyBorder="1" applyAlignment="1">
      <alignment horizontal="center" vertical="center"/>
    </xf>
    <xf numFmtId="0" fontId="14" fillId="0" borderId="49" xfId="1" applyBorder="1" applyAlignment="1">
      <alignment horizontal="center" vertical="center"/>
    </xf>
    <xf numFmtId="0" fontId="10" fillId="0" borderId="27" xfId="0" applyFont="1" applyBorder="1" applyAlignment="1">
      <alignment horizontal="center" vertical="center" wrapText="1"/>
    </xf>
    <xf numFmtId="0" fontId="14" fillId="0" borderId="27" xfId="1" applyBorder="1" applyAlignment="1">
      <alignment horizontal="center" vertical="center"/>
    </xf>
    <xf numFmtId="0" fontId="15" fillId="0" borderId="27" xfId="1" applyFont="1" applyBorder="1" applyAlignment="1">
      <alignment horizontal="center" wrapText="1"/>
    </xf>
    <xf numFmtId="0" fontId="10" fillId="0" borderId="51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4" fillId="0" borderId="29" xfId="1" applyBorder="1" applyAlignment="1">
      <alignment horizontal="center" vertical="center" wrapText="1"/>
    </xf>
    <xf numFmtId="0" fontId="14" fillId="0" borderId="30" xfId="1" applyBorder="1" applyAlignment="1">
      <alignment horizontal="center" vertical="center"/>
    </xf>
    <xf numFmtId="0" fontId="14" fillId="0" borderId="36" xfId="1" applyBorder="1" applyAlignment="1">
      <alignment horizontal="center" vertical="center"/>
    </xf>
    <xf numFmtId="0" fontId="14" fillId="0" borderId="37" xfId="1" applyBorder="1" applyAlignment="1">
      <alignment horizontal="center" vertical="center"/>
    </xf>
    <xf numFmtId="0" fontId="13" fillId="5" borderId="27" xfId="0" applyFont="1" applyFill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7" fillId="8" borderId="61" xfId="0" applyFont="1" applyFill="1" applyBorder="1" applyAlignment="1">
      <alignment horizontal="center" vertical="center"/>
    </xf>
    <xf numFmtId="0" fontId="28" fillId="7" borderId="61" xfId="0" applyFont="1" applyFill="1" applyBorder="1" applyAlignment="1">
      <alignment horizontal="center" vertical="center" wrapText="1"/>
    </xf>
    <xf numFmtId="0" fontId="34" fillId="0" borderId="61" xfId="0" applyFont="1" applyBorder="1" applyAlignment="1">
      <alignment horizontal="center" vertical="center" wrapText="1"/>
    </xf>
    <xf numFmtId="0" fontId="33" fillId="8" borderId="60" xfId="0" applyFont="1" applyFill="1" applyBorder="1" applyAlignment="1">
      <alignment horizontal="center" vertical="center" wrapText="1"/>
    </xf>
    <xf numFmtId="0" fontId="25" fillId="8" borderId="60" xfId="0" applyFont="1" applyFill="1" applyBorder="1" applyAlignment="1">
      <alignment horizontal="center" vertical="center"/>
    </xf>
    <xf numFmtId="0" fontId="9" fillId="2" borderId="63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13" fillId="4" borderId="12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6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6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vertical="center" wrapText="1"/>
    </xf>
    <xf numFmtId="0" fontId="9" fillId="4" borderId="63" xfId="0" applyFont="1" applyFill="1" applyBorder="1" applyAlignment="1">
      <alignment horizontal="center" vertical="center" wrapText="1"/>
    </xf>
    <xf numFmtId="0" fontId="9" fillId="3" borderId="13" xfId="0" applyFont="1" applyFill="1" applyBorder="1" applyAlignment="1">
      <alignment horizontal="center" vertical="center" wrapText="1"/>
    </xf>
    <xf numFmtId="0" fontId="9" fillId="3" borderId="63" xfId="0" applyFont="1" applyFill="1" applyBorder="1" applyAlignment="1">
      <alignment horizontal="center" vertical="center" wrapText="1"/>
    </xf>
    <xf numFmtId="0" fontId="10" fillId="4" borderId="16" xfId="0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10" fillId="4" borderId="18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176" fontId="10" fillId="4" borderId="16" xfId="0" applyNumberFormat="1" applyFont="1" applyFill="1" applyBorder="1" applyAlignment="1">
      <alignment horizontal="center" vertical="center" wrapText="1"/>
    </xf>
    <xf numFmtId="176" fontId="10" fillId="4" borderId="18" xfId="0" applyNumberFormat="1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10" fillId="0" borderId="64" xfId="0" applyFont="1" applyBorder="1" applyAlignment="1">
      <alignment horizontal="justify" vertical="center" wrapText="1"/>
    </xf>
    <xf numFmtId="0" fontId="36" fillId="8" borderId="61" xfId="0" applyFont="1" applyFill="1" applyBorder="1" applyAlignment="1">
      <alignment horizontal="center" vertical="center"/>
    </xf>
    <xf numFmtId="0" fontId="26" fillId="0" borderId="61" xfId="0" applyFont="1" applyBorder="1" applyAlignment="1">
      <alignment horizontal="center" vertical="center"/>
    </xf>
    <xf numFmtId="189" fontId="29" fillId="0" borderId="61" xfId="0" applyNumberFormat="1" applyFont="1" applyBorder="1" applyAlignment="1">
      <alignment horizontal="center" vertical="center" wrapText="1"/>
    </xf>
    <xf numFmtId="1" fontId="11" fillId="0" borderId="55" xfId="0" applyNumberFormat="1" applyFont="1" applyFill="1" applyBorder="1" applyAlignment="1">
      <alignment horizontal="center" vertical="center" wrapText="1"/>
    </xf>
    <xf numFmtId="1" fontId="11" fillId="4" borderId="55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 wrapText="1"/>
    </xf>
    <xf numFmtId="0" fontId="10" fillId="4" borderId="23" xfId="0" applyFont="1" applyFill="1" applyBorder="1" applyAlignment="1">
      <alignment horizontal="center" vertical="center" wrapText="1"/>
    </xf>
    <xf numFmtId="0" fontId="11" fillId="3" borderId="23" xfId="0" applyFont="1" applyFill="1" applyBorder="1" applyAlignment="1">
      <alignment horizontal="center" vertical="center" wrapText="1"/>
    </xf>
    <xf numFmtId="0" fontId="11" fillId="3" borderId="69" xfId="0" applyFont="1" applyFill="1" applyBorder="1" applyAlignment="1">
      <alignment horizontal="center" vertical="center" wrapText="1"/>
    </xf>
    <xf numFmtId="0" fontId="11" fillId="3" borderId="19" xfId="0" applyFont="1" applyFill="1" applyBorder="1" applyAlignment="1">
      <alignment horizontal="center" vertical="center" wrapText="1"/>
    </xf>
    <xf numFmtId="0" fontId="11" fillId="0" borderId="26" xfId="0" applyFont="1" applyBorder="1" applyAlignment="1">
      <alignment horizontal="center" vertical="center" wrapText="1"/>
    </xf>
    <xf numFmtId="0" fontId="10" fillId="4" borderId="26" xfId="0" applyFont="1" applyFill="1" applyBorder="1" applyAlignment="1">
      <alignment horizontal="center" vertical="center" wrapText="1"/>
    </xf>
    <xf numFmtId="0" fontId="11" fillId="3" borderId="26" xfId="0" applyFont="1" applyFill="1" applyBorder="1" applyAlignment="1">
      <alignment horizontal="center" vertical="center" wrapText="1"/>
    </xf>
    <xf numFmtId="0" fontId="11" fillId="3" borderId="70" xfId="0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horizontal="center" vertical="center" wrapText="1"/>
    </xf>
    <xf numFmtId="0" fontId="7" fillId="2" borderId="65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25" xfId="0" applyFont="1" applyFill="1" applyBorder="1" applyAlignment="1">
      <alignment horizontal="center" vertical="center" wrapText="1"/>
    </xf>
    <xf numFmtId="0" fontId="7" fillId="2" borderId="66" xfId="0" applyFont="1" applyFill="1" applyBorder="1" applyAlignment="1">
      <alignment horizontal="center" vertical="center" wrapText="1"/>
    </xf>
    <xf numFmtId="0" fontId="9" fillId="2" borderId="55" xfId="0" applyFont="1" applyFill="1" applyBorder="1" applyAlignment="1">
      <alignment horizontal="center" vertical="center" wrapText="1"/>
    </xf>
    <xf numFmtId="0" fontId="9" fillId="4" borderId="55" xfId="0" applyFont="1" applyFill="1" applyBorder="1" applyAlignment="1">
      <alignment horizontal="center" vertical="center" wrapText="1"/>
    </xf>
    <xf numFmtId="0" fontId="9" fillId="3" borderId="55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67" xfId="0" applyFont="1" applyFill="1" applyBorder="1" applyAlignment="1">
      <alignment horizontal="center" vertical="center" wrapText="1"/>
    </xf>
    <xf numFmtId="0" fontId="9" fillId="3" borderId="68" xfId="0" applyFont="1" applyFill="1" applyBorder="1" applyAlignment="1">
      <alignment horizontal="center" vertical="center" wrapText="1"/>
    </xf>
    <xf numFmtId="1" fontId="10" fillId="4" borderId="55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_Sheet1_1" xfId="1" xr:uid="{80A65514-737A-4456-8A7B-2A4FC46703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7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8.xml"/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0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2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[1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차 조사 시기</a:t>
            </a: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]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 대선 후보 지지율 비교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'4p'!$E$3</c:f>
              <c:strCache>
                <c:ptCount val="1"/>
                <c:pt idx="0">
                  <c:v>에스티아이
(25.5.8-11)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'4p'!$F$2:$K$2</c:f>
              <c:strCache>
                <c:ptCount val="6"/>
                <c:pt idx="0">
                  <c:v>이재명</c:v>
                </c:pt>
                <c:pt idx="1">
                  <c:v>김문수</c:v>
                </c:pt>
                <c:pt idx="2">
                  <c:v>이준석</c:v>
                </c:pt>
                <c:pt idx="3">
                  <c:v>그 외 후보</c:v>
                </c:pt>
                <c:pt idx="4">
                  <c:v>없음</c:v>
                </c:pt>
                <c:pt idx="5">
                  <c:v>잘 모름</c:v>
                </c:pt>
              </c:strCache>
            </c:strRef>
          </c:cat>
          <c:val>
            <c:numRef>
              <c:f>'4p'!$F$3:$K$3</c:f>
              <c:numCache>
                <c:formatCode>0</c:formatCode>
                <c:ptCount val="6"/>
                <c:pt idx="0">
                  <c:v>49.3</c:v>
                </c:pt>
                <c:pt idx="1">
                  <c:v>25.8</c:v>
                </c:pt>
                <c:pt idx="2">
                  <c:v>9.1</c:v>
                </c:pt>
                <c:pt idx="3">
                  <c:v>2.9</c:v>
                </c:pt>
                <c:pt idx="4">
                  <c:v>8.5</c:v>
                </c:pt>
                <c:pt idx="5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B-42D8-B51F-564E5B09F096}"/>
            </c:ext>
          </c:extLst>
        </c:ser>
        <c:ser>
          <c:idx val="1"/>
          <c:order val="1"/>
          <c:tx>
            <c:strRef>
              <c:f>'4p'!$E$4</c:f>
              <c:strCache>
                <c:ptCount val="1"/>
                <c:pt idx="0">
                  <c:v>NBS
(25.5.12-14)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'4p'!$F$2:$K$2</c:f>
              <c:strCache>
                <c:ptCount val="6"/>
                <c:pt idx="0">
                  <c:v>이재명</c:v>
                </c:pt>
                <c:pt idx="1">
                  <c:v>김문수</c:v>
                </c:pt>
                <c:pt idx="2">
                  <c:v>이준석</c:v>
                </c:pt>
                <c:pt idx="3">
                  <c:v>그 외 후보</c:v>
                </c:pt>
                <c:pt idx="4">
                  <c:v>없음</c:v>
                </c:pt>
                <c:pt idx="5">
                  <c:v>잘 모름</c:v>
                </c:pt>
              </c:strCache>
            </c:strRef>
          </c:cat>
          <c:val>
            <c:numRef>
              <c:f>'4p'!$F$4:$K$4</c:f>
              <c:numCache>
                <c:formatCode>General</c:formatCode>
                <c:ptCount val="6"/>
                <c:pt idx="0">
                  <c:v>49</c:v>
                </c:pt>
                <c:pt idx="1">
                  <c:v>27</c:v>
                </c:pt>
                <c:pt idx="2">
                  <c:v>7</c:v>
                </c:pt>
                <c:pt idx="3">
                  <c:v>1</c:v>
                </c:pt>
                <c:pt idx="4">
                  <c:v>10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7B-42D8-B51F-564E5B09F0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430112"/>
        <c:axId val="1071431552"/>
      </c:barChart>
      <c:catAx>
        <c:axId val="107143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071431552"/>
        <c:crosses val="autoZero"/>
        <c:auto val="1"/>
        <c:lblAlgn val="ctr"/>
        <c:lblOffset val="100"/>
        <c:noMultiLvlLbl val="0"/>
      </c:catAx>
      <c:valAx>
        <c:axId val="107143155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07143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[2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차 조사 시기</a:t>
            </a: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]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 국정 운영 평가 비교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'4p'!$E$18</c:f>
              <c:strCache>
                <c:ptCount val="1"/>
                <c:pt idx="0">
                  <c:v>에스티아이
(25.9.3-7)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'4p'!$F$17:$H$17</c:f>
              <c:strCache>
                <c:ptCount val="3"/>
                <c:pt idx="0">
                  <c:v>긍정 평가</c:v>
                </c:pt>
                <c:pt idx="1">
                  <c:v>부정 평가</c:v>
                </c:pt>
                <c:pt idx="2">
                  <c:v>잘 모름</c:v>
                </c:pt>
              </c:strCache>
            </c:strRef>
          </c:cat>
          <c:val>
            <c:numRef>
              <c:f>'4p'!$F$18:$H$18</c:f>
              <c:numCache>
                <c:formatCode>0</c:formatCode>
                <c:ptCount val="3"/>
                <c:pt idx="0">
                  <c:v>62.7</c:v>
                </c:pt>
                <c:pt idx="1">
                  <c:v>31.7</c:v>
                </c:pt>
                <c:pt idx="2">
                  <c:v>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EB-479A-8C2C-E1F26FB26FF8}"/>
            </c:ext>
          </c:extLst>
        </c:ser>
        <c:ser>
          <c:idx val="1"/>
          <c:order val="1"/>
          <c:tx>
            <c:strRef>
              <c:f>'4p'!$E$19</c:f>
              <c:strCache>
                <c:ptCount val="1"/>
                <c:pt idx="0">
                  <c:v>NBS
(25.9.1-3)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'4p'!$F$17:$H$17</c:f>
              <c:strCache>
                <c:ptCount val="3"/>
                <c:pt idx="0">
                  <c:v>긍정 평가</c:v>
                </c:pt>
                <c:pt idx="1">
                  <c:v>부정 평가</c:v>
                </c:pt>
                <c:pt idx="2">
                  <c:v>잘 모름</c:v>
                </c:pt>
              </c:strCache>
            </c:strRef>
          </c:cat>
          <c:val>
            <c:numRef>
              <c:f>'4p'!$F$19:$H$19</c:f>
              <c:numCache>
                <c:formatCode>General</c:formatCode>
                <c:ptCount val="3"/>
                <c:pt idx="0">
                  <c:v>62</c:v>
                </c:pt>
                <c:pt idx="1">
                  <c:v>28</c:v>
                </c:pt>
                <c:pt idx="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EB-479A-8C2C-E1F26FB26F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430112"/>
        <c:axId val="1071431552"/>
      </c:barChart>
      <c:catAx>
        <c:axId val="107143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071431552"/>
        <c:crosses val="autoZero"/>
        <c:auto val="1"/>
        <c:lblAlgn val="ctr"/>
        <c:lblOffset val="100"/>
        <c:noMultiLvlLbl val="0"/>
      </c:catAx>
      <c:valAx>
        <c:axId val="107143155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07143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1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차 조사 시기 정당 지지율 비교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'4p'!$C$38</c:f>
              <c:strCache>
                <c:ptCount val="1"/>
                <c:pt idx="0">
                  <c:v>에스티아이
(25.5.8-11)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'4p'!$D$36:$K$37</c:f>
              <c:strCache>
                <c:ptCount val="8"/>
                <c:pt idx="0">
                  <c:v>민주당</c:v>
                </c:pt>
                <c:pt idx="1">
                  <c:v>국민의힘</c:v>
                </c:pt>
                <c:pt idx="2">
                  <c:v>조국혁신당</c:v>
                </c:pt>
                <c:pt idx="3">
                  <c:v>진보당</c:v>
                </c:pt>
                <c:pt idx="4">
                  <c:v>개혁신당</c:v>
                </c:pt>
                <c:pt idx="5">
                  <c:v>그 외</c:v>
                </c:pt>
                <c:pt idx="6">
                  <c:v>없음</c:v>
                </c:pt>
                <c:pt idx="7">
                  <c:v>잘 모름</c:v>
                </c:pt>
              </c:strCache>
            </c:strRef>
          </c:cat>
          <c:val>
            <c:numRef>
              <c:f>'4p'!$D$38:$K$38</c:f>
              <c:numCache>
                <c:formatCode>0</c:formatCode>
                <c:ptCount val="8"/>
                <c:pt idx="0">
                  <c:v>44.1</c:v>
                </c:pt>
                <c:pt idx="1">
                  <c:v>31.7</c:v>
                </c:pt>
                <c:pt idx="2">
                  <c:v>5.4</c:v>
                </c:pt>
                <c:pt idx="3">
                  <c:v>1</c:v>
                </c:pt>
                <c:pt idx="4">
                  <c:v>6</c:v>
                </c:pt>
                <c:pt idx="5">
                  <c:v>3</c:v>
                </c:pt>
                <c:pt idx="6">
                  <c:v>6.5</c:v>
                </c:pt>
                <c:pt idx="7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E4-4839-BE9D-AF582A1A0669}"/>
            </c:ext>
          </c:extLst>
        </c:ser>
        <c:ser>
          <c:idx val="1"/>
          <c:order val="1"/>
          <c:tx>
            <c:strRef>
              <c:f>'4p'!$C$39</c:f>
              <c:strCache>
                <c:ptCount val="1"/>
                <c:pt idx="0">
                  <c:v>NBS
(25.5.12-14)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'4p'!$D$36:$K$37</c:f>
              <c:strCache>
                <c:ptCount val="8"/>
                <c:pt idx="0">
                  <c:v>민주당</c:v>
                </c:pt>
                <c:pt idx="1">
                  <c:v>국민의힘</c:v>
                </c:pt>
                <c:pt idx="2">
                  <c:v>조국혁신당</c:v>
                </c:pt>
                <c:pt idx="3">
                  <c:v>진보당</c:v>
                </c:pt>
                <c:pt idx="4">
                  <c:v>개혁신당</c:v>
                </c:pt>
                <c:pt idx="5">
                  <c:v>그 외</c:v>
                </c:pt>
                <c:pt idx="6">
                  <c:v>없음</c:v>
                </c:pt>
                <c:pt idx="7">
                  <c:v>잘 모름</c:v>
                </c:pt>
              </c:strCache>
            </c:strRef>
          </c:cat>
          <c:val>
            <c:numRef>
              <c:f>'4p'!$D$39:$K$39</c:f>
              <c:numCache>
                <c:formatCode>0</c:formatCode>
                <c:ptCount val="8"/>
                <c:pt idx="0">
                  <c:v>42</c:v>
                </c:pt>
                <c:pt idx="1">
                  <c:v>28</c:v>
                </c:pt>
                <c:pt idx="2">
                  <c:v>5</c:v>
                </c:pt>
                <c:pt idx="3">
                  <c:v>1</c:v>
                </c:pt>
                <c:pt idx="4">
                  <c:v>4</c:v>
                </c:pt>
                <c:pt idx="5">
                  <c:v>1</c:v>
                </c:pt>
                <c:pt idx="6">
                  <c:v>18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E4-4839-BE9D-AF582A1A06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430112"/>
        <c:axId val="1071431552"/>
      </c:barChart>
      <c:catAx>
        <c:axId val="107143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071431552"/>
        <c:crosses val="autoZero"/>
        <c:auto val="1"/>
        <c:lblAlgn val="ctr"/>
        <c:lblOffset val="100"/>
        <c:noMultiLvlLbl val="0"/>
      </c:catAx>
      <c:valAx>
        <c:axId val="107143155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07143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뉴 이재명의 이념성향 변화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'4p'!$E$56</c:f>
              <c:strCache>
                <c:ptCount val="1"/>
                <c:pt idx="0">
                  <c:v>1차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'4p'!$F$55:$H$55</c:f>
              <c:strCache>
                <c:ptCount val="3"/>
                <c:pt idx="0">
                  <c:v>진보</c:v>
                </c:pt>
                <c:pt idx="1">
                  <c:v>중도</c:v>
                </c:pt>
                <c:pt idx="2">
                  <c:v>보수</c:v>
                </c:pt>
              </c:strCache>
            </c:strRef>
          </c:cat>
          <c:val>
            <c:numRef>
              <c:f>'4p'!$F$56:$H$56</c:f>
              <c:numCache>
                <c:formatCode>0</c:formatCode>
                <c:ptCount val="3"/>
                <c:pt idx="0">
                  <c:v>11.6</c:v>
                </c:pt>
                <c:pt idx="1">
                  <c:v>61.8</c:v>
                </c:pt>
                <c:pt idx="2">
                  <c:v>26.6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62-4EB6-899B-43255D745551}"/>
            </c:ext>
          </c:extLst>
        </c:ser>
        <c:ser>
          <c:idx val="1"/>
          <c:order val="1"/>
          <c:tx>
            <c:strRef>
              <c:f>'4p'!$E$57</c:f>
              <c:strCache>
                <c:ptCount val="1"/>
                <c:pt idx="0">
                  <c:v>2차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'4p'!$F$55:$H$55</c:f>
              <c:strCache>
                <c:ptCount val="3"/>
                <c:pt idx="0">
                  <c:v>진보</c:v>
                </c:pt>
                <c:pt idx="1">
                  <c:v>중도</c:v>
                </c:pt>
                <c:pt idx="2">
                  <c:v>보수</c:v>
                </c:pt>
              </c:strCache>
            </c:strRef>
          </c:cat>
          <c:val>
            <c:numRef>
              <c:f>'4p'!$F$57:$H$57</c:f>
              <c:numCache>
                <c:formatCode>0</c:formatCode>
                <c:ptCount val="3"/>
                <c:pt idx="0">
                  <c:v>13</c:v>
                </c:pt>
                <c:pt idx="1">
                  <c:v>64.5</c:v>
                </c:pt>
                <c:pt idx="2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62-4EB6-899B-43255D745551}"/>
            </c:ext>
          </c:extLst>
        </c:ser>
        <c:ser>
          <c:idx val="2"/>
          <c:order val="2"/>
          <c:tx>
            <c:strRef>
              <c:f>'4p'!$E$58</c:f>
              <c:strCache>
                <c:ptCount val="1"/>
                <c:pt idx="0">
                  <c:v>3차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'4p'!$F$55:$H$55</c:f>
              <c:strCache>
                <c:ptCount val="3"/>
                <c:pt idx="0">
                  <c:v>진보</c:v>
                </c:pt>
                <c:pt idx="1">
                  <c:v>중도</c:v>
                </c:pt>
                <c:pt idx="2">
                  <c:v>보수</c:v>
                </c:pt>
              </c:strCache>
            </c:strRef>
          </c:cat>
          <c:val>
            <c:numRef>
              <c:f>'4p'!$F$58:$H$58</c:f>
              <c:numCache>
                <c:formatCode>0</c:formatCode>
                <c:ptCount val="3"/>
                <c:pt idx="0">
                  <c:v>13.5</c:v>
                </c:pt>
                <c:pt idx="1">
                  <c:v>65.900000000000006</c:v>
                </c:pt>
                <c:pt idx="2">
                  <c:v>20.7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62-4EB6-899B-43255D7455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430112"/>
        <c:axId val="1071431552"/>
      </c:barChart>
      <c:catAx>
        <c:axId val="107143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071431552"/>
        <c:crosses val="autoZero"/>
        <c:auto val="1"/>
        <c:lblAlgn val="ctr"/>
        <c:lblOffset val="100"/>
        <c:noMultiLvlLbl val="0"/>
      </c:catAx>
      <c:valAx>
        <c:axId val="107143155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07143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'4p'!$D$73</c:f>
              <c:strCache>
                <c:ptCount val="1"/>
                <c:pt idx="0">
                  <c:v>진보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'4p'!$C$74:$C$75</c:f>
              <c:strCache>
                <c:ptCount val="2"/>
                <c:pt idx="0">
                  <c:v>올드이재명</c:v>
                </c:pt>
                <c:pt idx="1">
                  <c:v>뉴이재명</c:v>
                </c:pt>
              </c:strCache>
            </c:strRef>
          </c:cat>
          <c:val>
            <c:numRef>
              <c:f>'4p'!$D$74:$D$75</c:f>
              <c:numCache>
                <c:formatCode>General</c:formatCode>
                <c:ptCount val="2"/>
                <c:pt idx="0">
                  <c:v>47.8</c:v>
                </c:pt>
                <c:pt idx="1">
                  <c:v>13.5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D-4EC8-9ED2-599954740935}"/>
            </c:ext>
          </c:extLst>
        </c:ser>
        <c:ser>
          <c:idx val="1"/>
          <c:order val="1"/>
          <c:tx>
            <c:strRef>
              <c:f>'4p'!$E$73</c:f>
              <c:strCache>
                <c:ptCount val="1"/>
                <c:pt idx="0">
                  <c:v>중도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'4p'!$C$74:$C$75</c:f>
              <c:strCache>
                <c:ptCount val="2"/>
                <c:pt idx="0">
                  <c:v>올드이재명</c:v>
                </c:pt>
                <c:pt idx="1">
                  <c:v>뉴이재명</c:v>
                </c:pt>
              </c:strCache>
            </c:strRef>
          </c:cat>
          <c:val>
            <c:numRef>
              <c:f>'4p'!$E$74:$E$75</c:f>
              <c:numCache>
                <c:formatCode>General</c:formatCode>
                <c:ptCount val="2"/>
                <c:pt idx="0">
                  <c:v>44.9</c:v>
                </c:pt>
                <c:pt idx="1">
                  <c:v>65.900000000000006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5D-4EC8-9ED2-599954740935}"/>
            </c:ext>
          </c:extLst>
        </c:ser>
        <c:ser>
          <c:idx val="2"/>
          <c:order val="2"/>
          <c:tx>
            <c:strRef>
              <c:f>'4p'!$F$73</c:f>
              <c:strCache>
                <c:ptCount val="1"/>
                <c:pt idx="0">
                  <c:v>보수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'4p'!$C$74:$C$75</c:f>
              <c:strCache>
                <c:ptCount val="2"/>
                <c:pt idx="0">
                  <c:v>올드이재명</c:v>
                </c:pt>
                <c:pt idx="1">
                  <c:v>뉴이재명</c:v>
                </c:pt>
              </c:strCache>
            </c:strRef>
          </c:cat>
          <c:val>
            <c:numRef>
              <c:f>'4p'!$F$74:$F$75</c:f>
              <c:numCache>
                <c:formatCode>General</c:formatCode>
                <c:ptCount val="2"/>
                <c:pt idx="0">
                  <c:v>7.3</c:v>
                </c:pt>
                <c:pt idx="1">
                  <c:v>20.7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5D-4EC8-9ED2-599954740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9083120"/>
        <c:axId val="1239085640"/>
      </c:barChart>
      <c:catAx>
        <c:axId val="123908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9085640"/>
        <c:crosses val="autoZero"/>
        <c:auto val="1"/>
        <c:lblAlgn val="ctr"/>
        <c:lblOffset val="100"/>
        <c:noMultiLvlLbl val="0"/>
      </c:catAx>
      <c:valAx>
        <c:axId val="1239085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908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뉴 이재명의 지지정당 변화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'4p'!$F$98</c:f>
              <c:strCache>
                <c:ptCount val="1"/>
                <c:pt idx="0">
                  <c:v>1차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'4p'!$G$96:$N$97</c:f>
              <c:strCache>
                <c:ptCount val="8"/>
                <c:pt idx="0">
                  <c:v>민주당</c:v>
                </c:pt>
                <c:pt idx="1">
                  <c:v>국민의힘</c:v>
                </c:pt>
                <c:pt idx="2">
                  <c:v>조국혁신당</c:v>
                </c:pt>
                <c:pt idx="3">
                  <c:v>진보당</c:v>
                </c:pt>
                <c:pt idx="4">
                  <c:v>개혁신당</c:v>
                </c:pt>
                <c:pt idx="5">
                  <c:v>그 외</c:v>
                </c:pt>
                <c:pt idx="6">
                  <c:v>없음</c:v>
                </c:pt>
                <c:pt idx="7">
                  <c:v>잘 모름</c:v>
                </c:pt>
              </c:strCache>
            </c:strRef>
          </c:cat>
          <c:val>
            <c:numRef>
              <c:f>'4p'!$G$98:$N$98</c:f>
              <c:numCache>
                <c:formatCode>0</c:formatCode>
                <c:ptCount val="8"/>
                <c:pt idx="0">
                  <c:v>10.5</c:v>
                </c:pt>
                <c:pt idx="1">
                  <c:v>29.7</c:v>
                </c:pt>
                <c:pt idx="2">
                  <c:v>4.9000000000000004</c:v>
                </c:pt>
                <c:pt idx="3">
                  <c:v>1.5</c:v>
                </c:pt>
                <c:pt idx="4">
                  <c:v>14.4</c:v>
                </c:pt>
                <c:pt idx="5">
                  <c:v>2.2000000000000002</c:v>
                </c:pt>
                <c:pt idx="6">
                  <c:v>25.2</c:v>
                </c:pt>
                <c:pt idx="7">
                  <c:v>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AB-4A5E-9A97-DF2C51F4365A}"/>
            </c:ext>
          </c:extLst>
        </c:ser>
        <c:ser>
          <c:idx val="1"/>
          <c:order val="1"/>
          <c:tx>
            <c:strRef>
              <c:f>'4p'!$F$99</c:f>
              <c:strCache>
                <c:ptCount val="1"/>
                <c:pt idx="0">
                  <c:v>2차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'4p'!$G$96:$N$97</c:f>
              <c:strCache>
                <c:ptCount val="8"/>
                <c:pt idx="0">
                  <c:v>민주당</c:v>
                </c:pt>
                <c:pt idx="1">
                  <c:v>국민의힘</c:v>
                </c:pt>
                <c:pt idx="2">
                  <c:v>조국혁신당</c:v>
                </c:pt>
                <c:pt idx="3">
                  <c:v>진보당</c:v>
                </c:pt>
                <c:pt idx="4">
                  <c:v>개혁신당</c:v>
                </c:pt>
                <c:pt idx="5">
                  <c:v>그 외</c:v>
                </c:pt>
                <c:pt idx="6">
                  <c:v>없음</c:v>
                </c:pt>
                <c:pt idx="7">
                  <c:v>잘 모름</c:v>
                </c:pt>
              </c:strCache>
            </c:strRef>
          </c:cat>
          <c:val>
            <c:numRef>
              <c:f>'4p'!$G$99:$N$99</c:f>
              <c:numCache>
                <c:formatCode>0</c:formatCode>
                <c:ptCount val="8"/>
                <c:pt idx="0">
                  <c:v>29.9</c:v>
                </c:pt>
                <c:pt idx="1">
                  <c:v>27.9</c:v>
                </c:pt>
                <c:pt idx="2">
                  <c:v>4.0999999999999996</c:v>
                </c:pt>
                <c:pt idx="3">
                  <c:v>2.1</c:v>
                </c:pt>
                <c:pt idx="4">
                  <c:v>12.8</c:v>
                </c:pt>
                <c:pt idx="5">
                  <c:v>1.4</c:v>
                </c:pt>
                <c:pt idx="6">
                  <c:v>15.4</c:v>
                </c:pt>
                <c:pt idx="7">
                  <c:v>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9AB-4A5E-9A97-DF2C51F4365A}"/>
            </c:ext>
          </c:extLst>
        </c:ser>
        <c:ser>
          <c:idx val="2"/>
          <c:order val="2"/>
          <c:tx>
            <c:strRef>
              <c:f>'4p'!$F$100</c:f>
              <c:strCache>
                <c:ptCount val="1"/>
                <c:pt idx="0">
                  <c:v>3차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1.666666666666656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AB-4A5E-9A97-DF2C51F436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'4p'!$G$96:$N$97</c:f>
              <c:strCache>
                <c:ptCount val="8"/>
                <c:pt idx="0">
                  <c:v>민주당</c:v>
                </c:pt>
                <c:pt idx="1">
                  <c:v>국민의힘</c:v>
                </c:pt>
                <c:pt idx="2">
                  <c:v>조국혁신당</c:v>
                </c:pt>
                <c:pt idx="3">
                  <c:v>진보당</c:v>
                </c:pt>
                <c:pt idx="4">
                  <c:v>개혁신당</c:v>
                </c:pt>
                <c:pt idx="5">
                  <c:v>그 외</c:v>
                </c:pt>
                <c:pt idx="6">
                  <c:v>없음</c:v>
                </c:pt>
                <c:pt idx="7">
                  <c:v>잘 모름</c:v>
                </c:pt>
              </c:strCache>
            </c:strRef>
          </c:cat>
          <c:val>
            <c:numRef>
              <c:f>'4p'!$G$100:$N$100</c:f>
              <c:numCache>
                <c:formatCode>0</c:formatCode>
                <c:ptCount val="8"/>
                <c:pt idx="0">
                  <c:v>34.1</c:v>
                </c:pt>
                <c:pt idx="1">
                  <c:v>24.8</c:v>
                </c:pt>
                <c:pt idx="2">
                  <c:v>4</c:v>
                </c:pt>
                <c:pt idx="3">
                  <c:v>1.3</c:v>
                </c:pt>
                <c:pt idx="4">
                  <c:v>13.6</c:v>
                </c:pt>
                <c:pt idx="5">
                  <c:v>2</c:v>
                </c:pt>
                <c:pt idx="6">
                  <c:v>15.5</c:v>
                </c:pt>
                <c:pt idx="7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AB-4A5E-9A97-DF2C51F43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430112"/>
        <c:axId val="1071431552"/>
      </c:barChart>
      <c:catAx>
        <c:axId val="107143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071431552"/>
        <c:crosses val="autoZero"/>
        <c:auto val="1"/>
        <c:lblAlgn val="ctr"/>
        <c:lblOffset val="100"/>
        <c:noMultiLvlLbl val="0"/>
      </c:catAx>
      <c:valAx>
        <c:axId val="107143155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107143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'4p'!$G$122:$G$123</c:f>
              <c:strCache>
                <c:ptCount val="2"/>
                <c:pt idx="0">
                  <c:v>민주당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'4p'!$F$124:$F$125</c:f>
              <c:strCache>
                <c:ptCount val="2"/>
                <c:pt idx="0">
                  <c:v>올드이재명</c:v>
                </c:pt>
                <c:pt idx="1">
                  <c:v>뉴이재명</c:v>
                </c:pt>
              </c:strCache>
            </c:strRef>
          </c:cat>
          <c:val>
            <c:numRef>
              <c:f>'4p'!$G$124:$G$125</c:f>
              <c:numCache>
                <c:formatCode>General</c:formatCode>
                <c:ptCount val="2"/>
                <c:pt idx="0">
                  <c:v>85.5</c:v>
                </c:pt>
                <c:pt idx="1">
                  <c:v>34.1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8A9-9799-9EB4206B8F64}"/>
            </c:ext>
          </c:extLst>
        </c:ser>
        <c:ser>
          <c:idx val="1"/>
          <c:order val="1"/>
          <c:tx>
            <c:strRef>
              <c:f>'4p'!$H$122:$H$123</c:f>
              <c:strCache>
                <c:ptCount val="2"/>
                <c:pt idx="0">
                  <c:v>국민의힘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'4p'!$F$124:$F$125</c:f>
              <c:strCache>
                <c:ptCount val="2"/>
                <c:pt idx="0">
                  <c:v>올드이재명</c:v>
                </c:pt>
                <c:pt idx="1">
                  <c:v>뉴이재명</c:v>
                </c:pt>
              </c:strCache>
            </c:strRef>
          </c:cat>
          <c:val>
            <c:numRef>
              <c:f>'4p'!$H$124:$H$125</c:f>
              <c:numCache>
                <c:formatCode>General</c:formatCode>
                <c:ptCount val="2"/>
                <c:pt idx="0">
                  <c:v>1.1000000000000001</c:v>
                </c:pt>
                <c:pt idx="1">
                  <c:v>24.8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AF-48A9-9799-9EB4206B8F64}"/>
            </c:ext>
          </c:extLst>
        </c:ser>
        <c:ser>
          <c:idx val="2"/>
          <c:order val="2"/>
          <c:tx>
            <c:strRef>
              <c:f>'4p'!$I$122:$I$123</c:f>
              <c:strCache>
                <c:ptCount val="2"/>
                <c:pt idx="0">
                  <c:v>조국혁신당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'4p'!$F$124:$F$125</c:f>
              <c:strCache>
                <c:ptCount val="2"/>
                <c:pt idx="0">
                  <c:v>올드이재명</c:v>
                </c:pt>
                <c:pt idx="1">
                  <c:v>뉴이재명</c:v>
                </c:pt>
              </c:strCache>
            </c:strRef>
          </c:cat>
          <c:val>
            <c:numRef>
              <c:f>'4p'!$I$124:$I$125</c:f>
              <c:numCache>
                <c:formatCode>General</c:formatCode>
                <c:ptCount val="2"/>
                <c:pt idx="0">
                  <c:v>7.8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AF-48A9-9799-9EB4206B8F64}"/>
            </c:ext>
          </c:extLst>
        </c:ser>
        <c:ser>
          <c:idx val="3"/>
          <c:order val="3"/>
          <c:tx>
            <c:strRef>
              <c:f>'4p'!$J$122:$J$123</c:f>
              <c:strCache>
                <c:ptCount val="2"/>
                <c:pt idx="0">
                  <c:v>진보당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'4p'!$F$124:$F$125</c:f>
              <c:strCache>
                <c:ptCount val="2"/>
                <c:pt idx="0">
                  <c:v>올드이재명</c:v>
                </c:pt>
                <c:pt idx="1">
                  <c:v>뉴이재명</c:v>
                </c:pt>
              </c:strCache>
            </c:strRef>
          </c:cat>
          <c:val>
            <c:numRef>
              <c:f>'4p'!$J$124:$J$125</c:f>
              <c:numCache>
                <c:formatCode>General</c:formatCode>
                <c:ptCount val="2"/>
                <c:pt idx="0">
                  <c:v>0.8</c:v>
                </c:pt>
                <c:pt idx="1">
                  <c:v>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6AF-48A9-9799-9EB4206B8F64}"/>
            </c:ext>
          </c:extLst>
        </c:ser>
        <c:ser>
          <c:idx val="4"/>
          <c:order val="4"/>
          <c:tx>
            <c:strRef>
              <c:f>'4p'!$K$122:$K$123</c:f>
              <c:strCache>
                <c:ptCount val="2"/>
                <c:pt idx="0">
                  <c:v>개혁신당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'4p'!$F$124:$F$125</c:f>
              <c:strCache>
                <c:ptCount val="2"/>
                <c:pt idx="0">
                  <c:v>올드이재명</c:v>
                </c:pt>
                <c:pt idx="1">
                  <c:v>뉴이재명</c:v>
                </c:pt>
              </c:strCache>
            </c:strRef>
          </c:cat>
          <c:val>
            <c:numRef>
              <c:f>'4p'!$K$124:$K$125</c:f>
              <c:numCache>
                <c:formatCode>General</c:formatCode>
                <c:ptCount val="2"/>
                <c:pt idx="0">
                  <c:v>0.4</c:v>
                </c:pt>
                <c:pt idx="1">
                  <c:v>13.6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6AF-48A9-9799-9EB4206B8F64}"/>
            </c:ext>
          </c:extLst>
        </c:ser>
        <c:ser>
          <c:idx val="5"/>
          <c:order val="5"/>
          <c:tx>
            <c:strRef>
              <c:f>'4p'!$L$122:$L$123</c:f>
              <c:strCache>
                <c:ptCount val="2"/>
                <c:pt idx="0">
                  <c:v>그 외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'4p'!$F$124:$F$125</c:f>
              <c:strCache>
                <c:ptCount val="2"/>
                <c:pt idx="0">
                  <c:v>올드이재명</c:v>
                </c:pt>
                <c:pt idx="1">
                  <c:v>뉴이재명</c:v>
                </c:pt>
              </c:strCache>
            </c:strRef>
          </c:cat>
          <c:val>
            <c:numRef>
              <c:f>'4p'!$L$124:$L$125</c:f>
              <c:numCache>
                <c:formatCode>General</c:formatCode>
                <c:ptCount val="2"/>
                <c:pt idx="0">
                  <c:v>1.7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6AF-48A9-9799-9EB4206B8F64}"/>
            </c:ext>
          </c:extLst>
        </c:ser>
        <c:ser>
          <c:idx val="6"/>
          <c:order val="6"/>
          <c:tx>
            <c:strRef>
              <c:f>'4p'!$M$122:$M$123</c:f>
              <c:strCache>
                <c:ptCount val="2"/>
                <c:pt idx="0">
                  <c:v>없음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'4p'!$F$124:$F$125</c:f>
              <c:strCache>
                <c:ptCount val="2"/>
                <c:pt idx="0">
                  <c:v>올드이재명</c:v>
                </c:pt>
                <c:pt idx="1">
                  <c:v>뉴이재명</c:v>
                </c:pt>
              </c:strCache>
            </c:strRef>
          </c:cat>
          <c:val>
            <c:numRef>
              <c:f>'4p'!$M$124:$M$125</c:f>
              <c:numCache>
                <c:formatCode>General</c:formatCode>
                <c:ptCount val="2"/>
                <c:pt idx="0">
                  <c:v>2</c:v>
                </c:pt>
                <c:pt idx="1">
                  <c:v>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6AF-48A9-9799-9EB4206B8F64}"/>
            </c:ext>
          </c:extLst>
        </c:ser>
        <c:ser>
          <c:idx val="7"/>
          <c:order val="7"/>
          <c:tx>
            <c:strRef>
              <c:f>'4p'!$N$122:$N$123</c:f>
              <c:strCache>
                <c:ptCount val="2"/>
                <c:pt idx="0">
                  <c:v>잘 모름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'4p'!$F$124:$F$125</c:f>
              <c:strCache>
                <c:ptCount val="2"/>
                <c:pt idx="0">
                  <c:v>올드이재명</c:v>
                </c:pt>
                <c:pt idx="1">
                  <c:v>뉴이재명</c:v>
                </c:pt>
              </c:strCache>
            </c:strRef>
          </c:cat>
          <c:val>
            <c:numRef>
              <c:f>'4p'!$N$124:$N$125</c:f>
              <c:numCache>
                <c:formatCode>General</c:formatCode>
                <c:ptCount val="2"/>
                <c:pt idx="0">
                  <c:v>0.8</c:v>
                </c:pt>
                <c:pt idx="1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6AF-48A9-9799-9EB4206B8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9083120"/>
        <c:axId val="1239085640"/>
      </c:barChart>
      <c:catAx>
        <c:axId val="12390831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9085640"/>
        <c:crosses val="autoZero"/>
        <c:auto val="1"/>
        <c:lblAlgn val="ctr"/>
        <c:lblOffset val="100"/>
        <c:noMultiLvlLbl val="0"/>
      </c:catAx>
      <c:valAx>
        <c:axId val="1239085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908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 sz="1200">
                <a:latin typeface="a고딕16" panose="02020600000000000000" pitchFamily="18" charset="-127"/>
                <a:ea typeface="a고딕16" panose="02020600000000000000" pitchFamily="18" charset="-127"/>
              </a:rPr>
              <a:t>[</a:t>
            </a:r>
            <a:r>
              <a:rPr lang="ko-KR" altLang="en-US" sz="1200">
                <a:latin typeface="a고딕16" panose="02020600000000000000" pitchFamily="18" charset="-127"/>
                <a:ea typeface="a고딕16" panose="02020600000000000000" pitchFamily="18" charset="-127"/>
              </a:rPr>
              <a:t>성별</a:t>
            </a:r>
            <a:r>
              <a:rPr lang="en-US" altLang="ko-KR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rPr>
              <a:t>] </a:t>
            </a:r>
            <a:r>
              <a:rPr lang="ko-KR" alt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rPr>
              <a:t>대선후보 </a:t>
            </a:r>
            <a:r>
              <a:rPr lang="ko-KR" altLang="en-US" sz="1200">
                <a:latin typeface="a고딕16" panose="02020600000000000000" pitchFamily="18" charset="-127"/>
                <a:ea typeface="a고딕16" panose="02020600000000000000" pitchFamily="18" charset="-127"/>
              </a:rPr>
              <a:t>지지층 대비 국정운영 지지층 변화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'6-7p'!$C$1</c:f>
              <c:strCache>
                <c:ptCount val="1"/>
                <c:pt idx="0">
                  <c:v>1차 대선후보 지지
(25.5)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'6-7p'!$B$4:$B$5</c:f>
              <c:strCache>
                <c:ptCount val="2"/>
                <c:pt idx="0">
                  <c:v>남성</c:v>
                </c:pt>
                <c:pt idx="1">
                  <c:v>여성</c:v>
                </c:pt>
              </c:strCache>
            </c:strRef>
          </c:cat>
          <c:val>
            <c:numRef>
              <c:f>'6-7p'!$C$4:$C$5</c:f>
              <c:numCache>
                <c:formatCode>0</c:formatCode>
                <c:ptCount val="2"/>
                <c:pt idx="0">
                  <c:v>47.2</c:v>
                </c:pt>
                <c:pt idx="1">
                  <c:v>51.3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9C-4211-8AB8-6B6063256FB3}"/>
            </c:ext>
          </c:extLst>
        </c:ser>
        <c:ser>
          <c:idx val="1"/>
          <c:order val="1"/>
          <c:tx>
            <c:strRef>
              <c:f>'6-7p'!$D$1</c:f>
              <c:strCache>
                <c:ptCount val="1"/>
                <c:pt idx="0">
                  <c:v>2차 국정운영 지지
 (25.9)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'6-7p'!$B$4:$B$5</c:f>
              <c:strCache>
                <c:ptCount val="2"/>
                <c:pt idx="0">
                  <c:v>남성</c:v>
                </c:pt>
                <c:pt idx="1">
                  <c:v>여성</c:v>
                </c:pt>
              </c:strCache>
            </c:strRef>
          </c:cat>
          <c:val>
            <c:numRef>
              <c:f>'6-7p'!$D$4:$D$5</c:f>
              <c:numCache>
                <c:formatCode>0</c:formatCode>
                <c:ptCount val="2"/>
                <c:pt idx="0">
                  <c:v>62.5</c:v>
                </c:pt>
                <c:pt idx="1">
                  <c:v>62.8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9C-4211-8AB8-6B6063256FB3}"/>
            </c:ext>
          </c:extLst>
        </c:ser>
        <c:ser>
          <c:idx val="2"/>
          <c:order val="2"/>
          <c:tx>
            <c:strRef>
              <c:f>'6-7p'!$E$1</c:f>
              <c:strCache>
                <c:ptCount val="1"/>
                <c:pt idx="0">
                  <c:v>3차 국정운영 지지
(26.1)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'6-7p'!$B$4:$B$5</c:f>
              <c:strCache>
                <c:ptCount val="2"/>
                <c:pt idx="0">
                  <c:v>남성</c:v>
                </c:pt>
                <c:pt idx="1">
                  <c:v>여성</c:v>
                </c:pt>
              </c:strCache>
            </c:strRef>
          </c:cat>
          <c:val>
            <c:numRef>
              <c:f>'6-7p'!$E$4:$E$5</c:f>
              <c:numCache>
                <c:formatCode>0</c:formatCode>
                <c:ptCount val="2"/>
                <c:pt idx="0">
                  <c:v>62.3</c:v>
                </c:pt>
                <c:pt idx="1">
                  <c:v>62.2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E9C-4211-8AB8-6B6063256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94505232"/>
        <c:axId val="794513872"/>
      </c:barChart>
      <c:catAx>
        <c:axId val="79450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794513872"/>
        <c:crosses val="autoZero"/>
        <c:auto val="1"/>
        <c:lblAlgn val="ctr"/>
        <c:lblOffset val="100"/>
        <c:noMultiLvlLbl val="0"/>
      </c:catAx>
      <c:valAx>
        <c:axId val="79451387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79450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고딕16" panose="02020600000000000000" pitchFamily="18" charset="-127"/>
                <a:ea typeface="a고딕16" panose="02020600000000000000" pitchFamily="18" charset="-127"/>
              </a:rPr>
              <a:t>[</a:t>
            </a:r>
            <a:r>
              <a:rPr lang="ko-KR" alt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고딕16" panose="02020600000000000000" pitchFamily="18" charset="-127"/>
                <a:ea typeface="a고딕16" panose="02020600000000000000" pitchFamily="18" charset="-127"/>
              </a:rPr>
              <a:t>연령별</a:t>
            </a:r>
            <a:r>
              <a:rPr lang="en-US" altLang="ko-KR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고딕16" panose="02020600000000000000" pitchFamily="18" charset="-127"/>
                <a:ea typeface="a고딕16" panose="02020600000000000000" pitchFamily="18" charset="-127"/>
              </a:rPr>
              <a:t>] </a:t>
            </a:r>
            <a:r>
              <a:rPr lang="ko-KR" alt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고딕16" panose="02020600000000000000" pitchFamily="18" charset="-127"/>
                <a:ea typeface="a고딕16" panose="02020600000000000000" pitchFamily="18" charset="-127"/>
              </a:rPr>
              <a:t>대선후보 지지층 대비 국정운영 지지층 변화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'6-7p'!$C$1</c:f>
              <c:strCache>
                <c:ptCount val="1"/>
                <c:pt idx="0">
                  <c:v>1차 대선후보 지지
(25.5)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'6-7p'!$B$6:$B$11</c:f>
              <c:strCache>
                <c:ptCount val="6"/>
                <c:pt idx="0">
                  <c:v>18~29세</c:v>
                </c:pt>
                <c:pt idx="1">
                  <c:v>30~39세</c:v>
                </c:pt>
                <c:pt idx="2">
                  <c:v>40~49세</c:v>
                </c:pt>
                <c:pt idx="3">
                  <c:v>50~59세</c:v>
                </c:pt>
                <c:pt idx="4">
                  <c:v>60~69세</c:v>
                </c:pt>
                <c:pt idx="5">
                  <c:v>70세 이상</c:v>
                </c:pt>
              </c:strCache>
            </c:strRef>
          </c:cat>
          <c:val>
            <c:numRef>
              <c:f>'6-7p'!$C$6:$C$11</c:f>
              <c:numCache>
                <c:formatCode>0</c:formatCode>
                <c:ptCount val="6"/>
                <c:pt idx="0">
                  <c:v>39.5</c:v>
                </c:pt>
                <c:pt idx="1">
                  <c:v>42.4</c:v>
                </c:pt>
                <c:pt idx="2">
                  <c:v>66.400000000000006</c:v>
                </c:pt>
                <c:pt idx="3">
                  <c:v>65.099999999999994</c:v>
                </c:pt>
                <c:pt idx="4">
                  <c:v>43.1</c:v>
                </c:pt>
                <c:pt idx="5">
                  <c:v>33.4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D1-4938-A4AE-C72EED1F05AD}"/>
            </c:ext>
          </c:extLst>
        </c:ser>
        <c:ser>
          <c:idx val="1"/>
          <c:order val="1"/>
          <c:tx>
            <c:strRef>
              <c:f>'6-7p'!$D$1</c:f>
              <c:strCache>
                <c:ptCount val="1"/>
                <c:pt idx="0">
                  <c:v>2차 국정운영 지지
 (25.9)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'6-7p'!$B$6:$B$11</c:f>
              <c:strCache>
                <c:ptCount val="6"/>
                <c:pt idx="0">
                  <c:v>18~29세</c:v>
                </c:pt>
                <c:pt idx="1">
                  <c:v>30~39세</c:v>
                </c:pt>
                <c:pt idx="2">
                  <c:v>40~49세</c:v>
                </c:pt>
                <c:pt idx="3">
                  <c:v>50~59세</c:v>
                </c:pt>
                <c:pt idx="4">
                  <c:v>60~69세</c:v>
                </c:pt>
                <c:pt idx="5">
                  <c:v>70세 이상</c:v>
                </c:pt>
              </c:strCache>
            </c:strRef>
          </c:cat>
          <c:val>
            <c:numRef>
              <c:f>'6-7p'!$D$6:$D$11</c:f>
              <c:numCache>
                <c:formatCode>0</c:formatCode>
                <c:ptCount val="6"/>
                <c:pt idx="0">
                  <c:v>56.1</c:v>
                </c:pt>
                <c:pt idx="1">
                  <c:v>65.5</c:v>
                </c:pt>
                <c:pt idx="2">
                  <c:v>78.7</c:v>
                </c:pt>
                <c:pt idx="3">
                  <c:v>72.599999999999994</c:v>
                </c:pt>
                <c:pt idx="4">
                  <c:v>53.9</c:v>
                </c:pt>
                <c:pt idx="5">
                  <c:v>46.3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D1-4938-A4AE-C72EED1F05AD}"/>
            </c:ext>
          </c:extLst>
        </c:ser>
        <c:ser>
          <c:idx val="2"/>
          <c:order val="2"/>
          <c:tx>
            <c:strRef>
              <c:f>'6-7p'!$E$1</c:f>
              <c:strCache>
                <c:ptCount val="1"/>
                <c:pt idx="0">
                  <c:v>3차 국정운영 지지
(26.1)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'6-7p'!$B$6:$B$11</c:f>
              <c:strCache>
                <c:ptCount val="6"/>
                <c:pt idx="0">
                  <c:v>18~29세</c:v>
                </c:pt>
                <c:pt idx="1">
                  <c:v>30~39세</c:v>
                </c:pt>
                <c:pt idx="2">
                  <c:v>40~49세</c:v>
                </c:pt>
                <c:pt idx="3">
                  <c:v>50~59세</c:v>
                </c:pt>
                <c:pt idx="4">
                  <c:v>60~69세</c:v>
                </c:pt>
                <c:pt idx="5">
                  <c:v>70세 이상</c:v>
                </c:pt>
              </c:strCache>
            </c:strRef>
          </c:cat>
          <c:val>
            <c:numRef>
              <c:f>'6-7p'!$E$6:$E$11</c:f>
              <c:numCache>
                <c:formatCode>0</c:formatCode>
                <c:ptCount val="6"/>
                <c:pt idx="0">
                  <c:v>45.8</c:v>
                </c:pt>
                <c:pt idx="1">
                  <c:v>61.6</c:v>
                </c:pt>
                <c:pt idx="2">
                  <c:v>79.3</c:v>
                </c:pt>
                <c:pt idx="3">
                  <c:v>75.2</c:v>
                </c:pt>
                <c:pt idx="4">
                  <c:v>56.3</c:v>
                </c:pt>
                <c:pt idx="5">
                  <c:v>50.3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D1-4938-A4AE-C72EED1F05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94505232"/>
        <c:axId val="794513872"/>
      </c:barChart>
      <c:catAx>
        <c:axId val="79450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794513872"/>
        <c:crosses val="autoZero"/>
        <c:auto val="1"/>
        <c:lblAlgn val="ctr"/>
        <c:lblOffset val="100"/>
        <c:noMultiLvlLbl val="0"/>
      </c:catAx>
      <c:valAx>
        <c:axId val="79451387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79450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 sz="1200">
                <a:latin typeface="a고딕16" panose="02020600000000000000" pitchFamily="18" charset="-127"/>
                <a:ea typeface="a고딕16" panose="02020600000000000000" pitchFamily="18" charset="-127"/>
              </a:rPr>
              <a:t>[</a:t>
            </a:r>
            <a:r>
              <a:rPr lang="ko-KR" altLang="en-US" sz="1200">
                <a:latin typeface="a고딕16" panose="02020600000000000000" pitchFamily="18" charset="-127"/>
                <a:ea typeface="a고딕16" panose="02020600000000000000" pitchFamily="18" charset="-127"/>
              </a:rPr>
              <a:t>지역별</a:t>
            </a:r>
            <a:r>
              <a:rPr lang="en-US" altLang="ko-KR" sz="1200">
                <a:latin typeface="a고딕16" panose="02020600000000000000" pitchFamily="18" charset="-127"/>
                <a:ea typeface="a고딕16" panose="02020600000000000000" pitchFamily="18" charset="-127"/>
              </a:rPr>
              <a:t>] </a:t>
            </a:r>
            <a:r>
              <a:rPr lang="ko-KR" alt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고딕16" panose="02020600000000000000" pitchFamily="18" charset="-127"/>
                <a:ea typeface="a고딕16" panose="02020600000000000000" pitchFamily="18" charset="-127"/>
              </a:rPr>
              <a:t>대선후보 지지층 대비 국정운영 지지층 변화</a:t>
            </a:r>
            <a:endParaRPr lang="ko-KR" altLang="en-US" sz="1200">
              <a:latin typeface="a고딕16" panose="02020600000000000000" pitchFamily="18" charset="-127"/>
              <a:ea typeface="a고딕16" panose="02020600000000000000" pitchFamily="18" charset="-12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'6-7p'!$C$1</c:f>
              <c:strCache>
                <c:ptCount val="1"/>
                <c:pt idx="0">
                  <c:v>1차 대선후보 지지
(25.5)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'6-7p'!$B$12:$B$18</c:f>
              <c:strCache>
                <c:ptCount val="7"/>
                <c:pt idx="0">
                  <c:v>서울</c:v>
                </c:pt>
                <c:pt idx="1">
                  <c:v>경기
인천</c:v>
                </c:pt>
                <c:pt idx="2">
                  <c:v>대전
충청
세종</c:v>
                </c:pt>
                <c:pt idx="3">
                  <c:v>광주
전북
전남</c:v>
                </c:pt>
                <c:pt idx="4">
                  <c:v>대구
경북</c:v>
                </c:pt>
                <c:pt idx="5">
                  <c:v>부산
울산
경남</c:v>
                </c:pt>
                <c:pt idx="6">
                  <c:v>강원
제주</c:v>
                </c:pt>
              </c:strCache>
            </c:strRef>
          </c:cat>
          <c:val>
            <c:numRef>
              <c:f>'6-7p'!$C$12:$C$18</c:f>
              <c:numCache>
                <c:formatCode>0</c:formatCode>
                <c:ptCount val="7"/>
                <c:pt idx="0">
                  <c:v>47.6</c:v>
                </c:pt>
                <c:pt idx="1">
                  <c:v>51.2</c:v>
                </c:pt>
                <c:pt idx="2">
                  <c:v>49.8</c:v>
                </c:pt>
                <c:pt idx="3">
                  <c:v>68.7</c:v>
                </c:pt>
                <c:pt idx="4">
                  <c:v>38.5</c:v>
                </c:pt>
                <c:pt idx="5">
                  <c:v>41</c:v>
                </c:pt>
                <c:pt idx="6">
                  <c:v>50.1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4-432B-85E5-AF411D7939C5}"/>
            </c:ext>
          </c:extLst>
        </c:ser>
        <c:ser>
          <c:idx val="1"/>
          <c:order val="1"/>
          <c:tx>
            <c:strRef>
              <c:f>'6-7p'!$D$1</c:f>
              <c:strCache>
                <c:ptCount val="1"/>
                <c:pt idx="0">
                  <c:v>2차 국정운영 지지
 (25.9)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'6-7p'!$B$12:$B$18</c:f>
              <c:strCache>
                <c:ptCount val="7"/>
                <c:pt idx="0">
                  <c:v>서울</c:v>
                </c:pt>
                <c:pt idx="1">
                  <c:v>경기
인천</c:v>
                </c:pt>
                <c:pt idx="2">
                  <c:v>대전
충청
세종</c:v>
                </c:pt>
                <c:pt idx="3">
                  <c:v>광주
전북
전남</c:v>
                </c:pt>
                <c:pt idx="4">
                  <c:v>대구
경북</c:v>
                </c:pt>
                <c:pt idx="5">
                  <c:v>부산
울산
경남</c:v>
                </c:pt>
                <c:pt idx="6">
                  <c:v>강원
제주</c:v>
                </c:pt>
              </c:strCache>
            </c:strRef>
          </c:cat>
          <c:val>
            <c:numRef>
              <c:f>'6-7p'!$D$12:$D$18</c:f>
              <c:numCache>
                <c:formatCode>0</c:formatCode>
                <c:ptCount val="7"/>
                <c:pt idx="0">
                  <c:v>61.8</c:v>
                </c:pt>
                <c:pt idx="1">
                  <c:v>65.2</c:v>
                </c:pt>
                <c:pt idx="2">
                  <c:v>53.4</c:v>
                </c:pt>
                <c:pt idx="3">
                  <c:v>78.599999999999994</c:v>
                </c:pt>
                <c:pt idx="4">
                  <c:v>52.9</c:v>
                </c:pt>
                <c:pt idx="5">
                  <c:v>58.1</c:v>
                </c:pt>
                <c:pt idx="6">
                  <c:v>73.400000000000006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84-432B-85E5-AF411D7939C5}"/>
            </c:ext>
          </c:extLst>
        </c:ser>
        <c:ser>
          <c:idx val="2"/>
          <c:order val="2"/>
          <c:tx>
            <c:strRef>
              <c:f>'6-7p'!$E$1</c:f>
              <c:strCache>
                <c:ptCount val="1"/>
                <c:pt idx="0">
                  <c:v>3차 국정운영 지지
(26.1)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111111111111111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584-432B-85E5-AF411D7939C5}"/>
                </c:ext>
              </c:extLst>
            </c:dLbl>
            <c:dLbl>
              <c:idx val="1"/>
              <c:layout>
                <c:manualLayout>
                  <c:x val="1.388888888888888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584-432B-85E5-AF411D7939C5}"/>
                </c:ext>
              </c:extLst>
            </c:dLbl>
            <c:dLbl>
              <c:idx val="3"/>
              <c:layout>
                <c:manualLayout>
                  <c:x val="1.6666666666666666E-2"/>
                  <c:y val="4.629629629629608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584-432B-85E5-AF411D7939C5}"/>
                </c:ext>
              </c:extLst>
            </c:dLbl>
            <c:dLbl>
              <c:idx val="4"/>
              <c:layout>
                <c:manualLayout>
                  <c:x val="8.3333333333333332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584-432B-85E5-AF411D7939C5}"/>
                </c:ext>
              </c:extLst>
            </c:dLbl>
            <c:dLbl>
              <c:idx val="5"/>
              <c:layout>
                <c:manualLayout>
                  <c:x val="1.6666666666666566E-2"/>
                  <c:y val="-4.243778136006664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584-432B-85E5-AF411D7939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'6-7p'!$B$12:$B$18</c:f>
              <c:strCache>
                <c:ptCount val="7"/>
                <c:pt idx="0">
                  <c:v>서울</c:v>
                </c:pt>
                <c:pt idx="1">
                  <c:v>경기
인천</c:v>
                </c:pt>
                <c:pt idx="2">
                  <c:v>대전
충청
세종</c:v>
                </c:pt>
                <c:pt idx="3">
                  <c:v>광주
전북
전남</c:v>
                </c:pt>
                <c:pt idx="4">
                  <c:v>대구
경북</c:v>
                </c:pt>
                <c:pt idx="5">
                  <c:v>부산
울산
경남</c:v>
                </c:pt>
                <c:pt idx="6">
                  <c:v>강원
제주</c:v>
                </c:pt>
              </c:strCache>
            </c:strRef>
          </c:cat>
          <c:val>
            <c:numRef>
              <c:f>'6-7p'!$E$12:$E$18</c:f>
              <c:numCache>
                <c:formatCode>0</c:formatCode>
                <c:ptCount val="7"/>
                <c:pt idx="0">
                  <c:v>61</c:v>
                </c:pt>
                <c:pt idx="1">
                  <c:v>64.099999999999994</c:v>
                </c:pt>
                <c:pt idx="2">
                  <c:v>58.1</c:v>
                </c:pt>
                <c:pt idx="3">
                  <c:v>79.099999999999994</c:v>
                </c:pt>
                <c:pt idx="4">
                  <c:v>52.1</c:v>
                </c:pt>
                <c:pt idx="5">
                  <c:v>58.1</c:v>
                </c:pt>
                <c:pt idx="6">
                  <c:v>62.5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84-432B-85E5-AF411D793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94505232"/>
        <c:axId val="794513872"/>
      </c:barChart>
      <c:catAx>
        <c:axId val="79450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794513872"/>
        <c:crosses val="autoZero"/>
        <c:auto val="1"/>
        <c:lblAlgn val="ctr"/>
        <c:lblOffset val="100"/>
        <c:noMultiLvlLbl val="0"/>
      </c:catAx>
      <c:valAx>
        <c:axId val="79451387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79450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 sz="1200">
                <a:latin typeface="a고딕16" panose="02020600000000000000" pitchFamily="18" charset="-127"/>
                <a:ea typeface="a고딕16" panose="02020600000000000000" pitchFamily="18" charset="-127"/>
              </a:rPr>
              <a:t>[</a:t>
            </a:r>
            <a:r>
              <a:rPr lang="ko-KR" altLang="en-US" sz="1200">
                <a:latin typeface="a고딕16" panose="02020600000000000000" pitchFamily="18" charset="-127"/>
                <a:ea typeface="a고딕16" panose="02020600000000000000" pitchFamily="18" charset="-127"/>
              </a:rPr>
              <a:t>이념성향별</a:t>
            </a:r>
            <a:r>
              <a:rPr lang="en-US" altLang="ko-KR" sz="1200">
                <a:latin typeface="a고딕16" panose="02020600000000000000" pitchFamily="18" charset="-127"/>
                <a:ea typeface="a고딕16" panose="02020600000000000000" pitchFamily="18" charset="-127"/>
              </a:rPr>
              <a:t>] </a:t>
            </a:r>
            <a:r>
              <a:rPr lang="ko-KR" alt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고딕16" panose="02020600000000000000" pitchFamily="18" charset="-127"/>
                <a:ea typeface="a고딕16" panose="02020600000000000000" pitchFamily="18" charset="-127"/>
              </a:rPr>
              <a:t>대선후보 지지층 대비 국정운영 지지층 변화</a:t>
            </a:r>
            <a:endParaRPr lang="ko-KR" altLang="en-US" sz="1200">
              <a:latin typeface="a고딕16" panose="02020600000000000000" pitchFamily="18" charset="-127"/>
              <a:ea typeface="a고딕16" panose="02020600000000000000" pitchFamily="18" charset="-12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'6-7p'!$C$1</c:f>
              <c:strCache>
                <c:ptCount val="1"/>
                <c:pt idx="0">
                  <c:v>1차 대선후보 지지
(25.5)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'6-7p'!$B$19:$B$21</c:f>
              <c:strCache>
                <c:ptCount val="3"/>
                <c:pt idx="0">
                  <c:v>진보</c:v>
                </c:pt>
                <c:pt idx="1">
                  <c:v>중도</c:v>
                </c:pt>
                <c:pt idx="2">
                  <c:v>보수</c:v>
                </c:pt>
              </c:strCache>
            </c:strRef>
          </c:cat>
          <c:val>
            <c:numRef>
              <c:f>'6-7p'!$C$19:$C$21</c:f>
              <c:numCache>
                <c:formatCode>0</c:formatCode>
                <c:ptCount val="3"/>
                <c:pt idx="0">
                  <c:v>88.6</c:v>
                </c:pt>
                <c:pt idx="1">
                  <c:v>51.8</c:v>
                </c:pt>
                <c:pt idx="2">
                  <c:v>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5-4EF0-A8F8-4F50845F85CF}"/>
            </c:ext>
          </c:extLst>
        </c:ser>
        <c:ser>
          <c:idx val="1"/>
          <c:order val="1"/>
          <c:tx>
            <c:strRef>
              <c:f>'6-7p'!$D$1</c:f>
              <c:strCache>
                <c:ptCount val="1"/>
                <c:pt idx="0">
                  <c:v>2차 국정운영 지지
 (25.9)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'6-7p'!$B$19:$B$21</c:f>
              <c:strCache>
                <c:ptCount val="3"/>
                <c:pt idx="0">
                  <c:v>진보</c:v>
                </c:pt>
                <c:pt idx="1">
                  <c:v>중도</c:v>
                </c:pt>
                <c:pt idx="2">
                  <c:v>보수</c:v>
                </c:pt>
              </c:strCache>
            </c:strRef>
          </c:cat>
          <c:val>
            <c:numRef>
              <c:f>'6-7p'!$D$19:$D$21</c:f>
              <c:numCache>
                <c:formatCode>0</c:formatCode>
                <c:ptCount val="3"/>
                <c:pt idx="0">
                  <c:v>94.1</c:v>
                </c:pt>
                <c:pt idx="1">
                  <c:v>67.7</c:v>
                </c:pt>
                <c:pt idx="2">
                  <c:v>24.1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25-4EF0-A8F8-4F50845F85CF}"/>
            </c:ext>
          </c:extLst>
        </c:ser>
        <c:ser>
          <c:idx val="2"/>
          <c:order val="2"/>
          <c:tx>
            <c:strRef>
              <c:f>'6-7p'!$E$1</c:f>
              <c:strCache>
                <c:ptCount val="1"/>
                <c:pt idx="0">
                  <c:v>3차 국정운영 지지
(26.1)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'6-7p'!$B$19:$B$21</c:f>
              <c:strCache>
                <c:ptCount val="3"/>
                <c:pt idx="0">
                  <c:v>진보</c:v>
                </c:pt>
                <c:pt idx="1">
                  <c:v>중도</c:v>
                </c:pt>
                <c:pt idx="2">
                  <c:v>보수</c:v>
                </c:pt>
              </c:strCache>
            </c:strRef>
          </c:cat>
          <c:val>
            <c:numRef>
              <c:f>'6-7p'!$E$19:$E$21</c:f>
              <c:numCache>
                <c:formatCode>0</c:formatCode>
                <c:ptCount val="3"/>
                <c:pt idx="0">
                  <c:v>93.2</c:v>
                </c:pt>
                <c:pt idx="1">
                  <c:v>67.099999999999994</c:v>
                </c:pt>
                <c:pt idx="2">
                  <c:v>23.4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425-4EF0-A8F8-4F50845F8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94505232"/>
        <c:axId val="794513872"/>
      </c:barChart>
      <c:catAx>
        <c:axId val="79450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794513872"/>
        <c:crosses val="autoZero"/>
        <c:auto val="1"/>
        <c:lblAlgn val="ctr"/>
        <c:lblOffset val="100"/>
        <c:noMultiLvlLbl val="0"/>
      </c:catAx>
      <c:valAx>
        <c:axId val="79451387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79450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 sz="1200">
                <a:latin typeface="a고딕16" panose="02020600000000000000" pitchFamily="18" charset="-127"/>
                <a:ea typeface="a고딕16" panose="02020600000000000000" pitchFamily="18" charset="-127"/>
              </a:rPr>
              <a:t>[</a:t>
            </a:r>
            <a:r>
              <a:rPr lang="ko-KR" altLang="en-US" sz="1200">
                <a:latin typeface="a고딕16" panose="02020600000000000000" pitchFamily="18" charset="-127"/>
                <a:ea typeface="a고딕16" panose="02020600000000000000" pitchFamily="18" charset="-127"/>
              </a:rPr>
              <a:t>지지정당별</a:t>
            </a:r>
            <a:r>
              <a:rPr lang="en-US" altLang="ko-KR" sz="1200">
                <a:latin typeface="a고딕16" panose="02020600000000000000" pitchFamily="18" charset="-127"/>
                <a:ea typeface="a고딕16" panose="02020600000000000000" pitchFamily="18" charset="-127"/>
              </a:rPr>
              <a:t>] </a:t>
            </a:r>
            <a:r>
              <a:rPr lang="ko-KR" alt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고딕16" panose="02020600000000000000" pitchFamily="18" charset="-127"/>
                <a:ea typeface="a고딕16" panose="02020600000000000000" pitchFamily="18" charset="-127"/>
              </a:rPr>
              <a:t>대선후보 지지층 대비 국정운영 지지층 변화</a:t>
            </a:r>
            <a:endParaRPr lang="ko-KR" altLang="en-US" sz="1200">
              <a:latin typeface="a고딕16" panose="02020600000000000000" pitchFamily="18" charset="-127"/>
              <a:ea typeface="a고딕16" panose="02020600000000000000" pitchFamily="18" charset="-12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'6-7p'!$C$1</c:f>
              <c:strCache>
                <c:ptCount val="1"/>
                <c:pt idx="0">
                  <c:v>1차 대선후보 지지
(25.5)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'6-7p'!$B$22:$B$29</c:f>
              <c:strCache>
                <c:ptCount val="7"/>
                <c:pt idx="0">
                  <c:v>더불어민주당</c:v>
                </c:pt>
                <c:pt idx="1">
                  <c:v>국민의힘</c:v>
                </c:pt>
                <c:pt idx="2">
                  <c:v>조국혁신당</c:v>
                </c:pt>
                <c:pt idx="3">
                  <c:v>개혁신당</c:v>
                </c:pt>
                <c:pt idx="4">
                  <c:v>진보당</c:v>
                </c:pt>
                <c:pt idx="5">
                  <c:v>그 외</c:v>
                </c:pt>
                <c:pt idx="6">
                  <c:v>없음/모름</c:v>
                </c:pt>
              </c:strCache>
            </c:strRef>
          </c:cat>
          <c:val>
            <c:numRef>
              <c:f>'6-7p'!$C$22:$C$29</c:f>
              <c:numCache>
                <c:formatCode>0</c:formatCode>
                <c:ptCount val="8"/>
                <c:pt idx="0">
                  <c:v>94</c:v>
                </c:pt>
                <c:pt idx="1">
                  <c:v>2.5</c:v>
                </c:pt>
                <c:pt idx="2">
                  <c:v>81.900000000000006</c:v>
                </c:pt>
                <c:pt idx="3">
                  <c:v>4.0999999999999996</c:v>
                </c:pt>
                <c:pt idx="4">
                  <c:v>45.9</c:v>
                </c:pt>
                <c:pt idx="5">
                  <c:v>24.9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5-42D2-9674-FEA48D46B4C9}"/>
            </c:ext>
          </c:extLst>
        </c:ser>
        <c:ser>
          <c:idx val="1"/>
          <c:order val="1"/>
          <c:tx>
            <c:strRef>
              <c:f>'6-7p'!$D$1</c:f>
              <c:strCache>
                <c:ptCount val="1"/>
                <c:pt idx="0">
                  <c:v>2차 국정운영 지지
 (25.9)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'6-7p'!$B$22:$B$29</c:f>
              <c:strCache>
                <c:ptCount val="7"/>
                <c:pt idx="0">
                  <c:v>더불어민주당</c:v>
                </c:pt>
                <c:pt idx="1">
                  <c:v>국민의힘</c:v>
                </c:pt>
                <c:pt idx="2">
                  <c:v>조국혁신당</c:v>
                </c:pt>
                <c:pt idx="3">
                  <c:v>개혁신당</c:v>
                </c:pt>
                <c:pt idx="4">
                  <c:v>진보당</c:v>
                </c:pt>
                <c:pt idx="5">
                  <c:v>그 외</c:v>
                </c:pt>
                <c:pt idx="6">
                  <c:v>없음/모름</c:v>
                </c:pt>
              </c:strCache>
            </c:strRef>
          </c:cat>
          <c:val>
            <c:numRef>
              <c:f>'6-7p'!$D$22:$D$29</c:f>
              <c:numCache>
                <c:formatCode>0</c:formatCode>
                <c:ptCount val="8"/>
                <c:pt idx="0">
                  <c:v>95.8</c:v>
                </c:pt>
                <c:pt idx="1">
                  <c:v>15.1</c:v>
                </c:pt>
                <c:pt idx="2">
                  <c:v>95.4</c:v>
                </c:pt>
                <c:pt idx="3">
                  <c:v>89.1</c:v>
                </c:pt>
                <c:pt idx="4">
                  <c:v>39.5</c:v>
                </c:pt>
                <c:pt idx="5">
                  <c:v>43.2</c:v>
                </c:pt>
                <c:pt idx="6">
                  <c:v>43.8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5-42D2-9674-FEA48D46B4C9}"/>
            </c:ext>
          </c:extLst>
        </c:ser>
        <c:ser>
          <c:idx val="2"/>
          <c:order val="2"/>
          <c:tx>
            <c:strRef>
              <c:f>'6-7p'!$E$1</c:f>
              <c:strCache>
                <c:ptCount val="1"/>
                <c:pt idx="0">
                  <c:v>3차 국정운영 지지
(26.1)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'6-7p'!$B$22:$B$29</c:f>
              <c:strCache>
                <c:ptCount val="7"/>
                <c:pt idx="0">
                  <c:v>더불어민주당</c:v>
                </c:pt>
                <c:pt idx="1">
                  <c:v>국민의힘</c:v>
                </c:pt>
                <c:pt idx="2">
                  <c:v>조국혁신당</c:v>
                </c:pt>
                <c:pt idx="3">
                  <c:v>개혁신당</c:v>
                </c:pt>
                <c:pt idx="4">
                  <c:v>진보당</c:v>
                </c:pt>
                <c:pt idx="5">
                  <c:v>그 외</c:v>
                </c:pt>
                <c:pt idx="6">
                  <c:v>없음/모름</c:v>
                </c:pt>
              </c:strCache>
            </c:strRef>
          </c:cat>
          <c:val>
            <c:numRef>
              <c:f>'6-7p'!$E$22:$E$29</c:f>
              <c:numCache>
                <c:formatCode>0</c:formatCode>
                <c:ptCount val="8"/>
                <c:pt idx="0">
                  <c:v>95.8</c:v>
                </c:pt>
                <c:pt idx="1">
                  <c:v>14.2</c:v>
                </c:pt>
                <c:pt idx="2">
                  <c:v>93</c:v>
                </c:pt>
                <c:pt idx="3">
                  <c:v>86.4</c:v>
                </c:pt>
                <c:pt idx="4">
                  <c:v>34.5</c:v>
                </c:pt>
                <c:pt idx="5">
                  <c:v>46.4</c:v>
                </c:pt>
                <c:pt idx="6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95-42D2-9674-FEA48D46B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94505232"/>
        <c:axId val="794513872"/>
      </c:barChart>
      <c:catAx>
        <c:axId val="79450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794513872"/>
        <c:crosses val="autoZero"/>
        <c:auto val="1"/>
        <c:lblAlgn val="ctr"/>
        <c:lblOffset val="100"/>
        <c:noMultiLvlLbl val="0"/>
      </c:catAx>
      <c:valAx>
        <c:axId val="79451387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79450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 sz="1200">
                <a:latin typeface="a고딕16" panose="02020600000000000000" pitchFamily="18" charset="-127"/>
                <a:ea typeface="a고딕16" panose="02020600000000000000" pitchFamily="18" charset="-127"/>
              </a:rPr>
              <a:t>[</a:t>
            </a:r>
            <a:r>
              <a:rPr lang="ko-KR" altLang="en-US" sz="1200">
                <a:latin typeface="a고딕16" panose="02020600000000000000" pitchFamily="18" charset="-127"/>
                <a:ea typeface="a고딕16" panose="02020600000000000000" pitchFamily="18" charset="-127"/>
              </a:rPr>
              <a:t>지지정당별</a:t>
            </a:r>
            <a:r>
              <a:rPr lang="en-US" altLang="ko-KR" sz="1200">
                <a:latin typeface="a고딕16" panose="02020600000000000000" pitchFamily="18" charset="-127"/>
                <a:ea typeface="a고딕16" panose="02020600000000000000" pitchFamily="18" charset="-127"/>
              </a:rPr>
              <a:t>] </a:t>
            </a:r>
            <a:r>
              <a:rPr lang="ko-KR" altLang="en-US" sz="12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고딕16" panose="02020600000000000000" pitchFamily="18" charset="-127"/>
                <a:ea typeface="a고딕16" panose="02020600000000000000" pitchFamily="18" charset="-127"/>
              </a:rPr>
              <a:t>대선후보 지지층 대비 국정운영 지지층 변화</a:t>
            </a:r>
            <a:endParaRPr lang="ko-KR" altLang="en-US" sz="1200">
              <a:latin typeface="a고딕16" panose="02020600000000000000" pitchFamily="18" charset="-127"/>
              <a:ea typeface="a고딕16" panose="02020600000000000000" pitchFamily="18" charset="-12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'6-7p'!$B$22:$B$28</c:f>
              <c:strCache>
                <c:ptCount val="7"/>
                <c:pt idx="0">
                  <c:v>더불어민주당</c:v>
                </c:pt>
                <c:pt idx="1">
                  <c:v>국민의힘</c:v>
                </c:pt>
                <c:pt idx="2">
                  <c:v>조국혁신당</c:v>
                </c:pt>
                <c:pt idx="3">
                  <c:v>개혁신당</c:v>
                </c:pt>
                <c:pt idx="4">
                  <c:v>진보당</c:v>
                </c:pt>
                <c:pt idx="5">
                  <c:v>그 외</c:v>
                </c:pt>
                <c:pt idx="6">
                  <c:v>없음/모름</c:v>
                </c:pt>
              </c:strCache>
            </c:strRef>
          </c:cat>
          <c:val>
            <c:numRef>
              <c:f>'6-7p'!$C$22:$C$28</c:f>
              <c:numCache>
                <c:formatCode>0</c:formatCode>
                <c:ptCount val="7"/>
                <c:pt idx="0">
                  <c:v>94</c:v>
                </c:pt>
                <c:pt idx="1">
                  <c:v>2.5</c:v>
                </c:pt>
                <c:pt idx="2">
                  <c:v>81.900000000000006</c:v>
                </c:pt>
                <c:pt idx="3">
                  <c:v>4.0999999999999996</c:v>
                </c:pt>
                <c:pt idx="4">
                  <c:v>45.9</c:v>
                </c:pt>
                <c:pt idx="5">
                  <c:v>24.9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16-4B73-ADF6-BB39F93D4DAA}"/>
            </c:ext>
          </c:extLst>
        </c:ser>
        <c:ser>
          <c:idx val="1"/>
          <c:order val="1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'6-7p'!$B$22:$B$28</c:f>
              <c:strCache>
                <c:ptCount val="7"/>
                <c:pt idx="0">
                  <c:v>더불어민주당</c:v>
                </c:pt>
                <c:pt idx="1">
                  <c:v>국민의힘</c:v>
                </c:pt>
                <c:pt idx="2">
                  <c:v>조국혁신당</c:v>
                </c:pt>
                <c:pt idx="3">
                  <c:v>개혁신당</c:v>
                </c:pt>
                <c:pt idx="4">
                  <c:v>진보당</c:v>
                </c:pt>
                <c:pt idx="5">
                  <c:v>그 외</c:v>
                </c:pt>
                <c:pt idx="6">
                  <c:v>없음/모름</c:v>
                </c:pt>
              </c:strCache>
            </c:strRef>
          </c:cat>
          <c:val>
            <c:numRef>
              <c:f>'6-7p'!$D$22:$D$28</c:f>
              <c:numCache>
                <c:formatCode>0</c:formatCode>
                <c:ptCount val="7"/>
                <c:pt idx="0">
                  <c:v>95.8</c:v>
                </c:pt>
                <c:pt idx="1">
                  <c:v>15.1</c:v>
                </c:pt>
                <c:pt idx="2">
                  <c:v>95.4</c:v>
                </c:pt>
                <c:pt idx="3">
                  <c:v>89.1</c:v>
                </c:pt>
                <c:pt idx="4">
                  <c:v>39.5</c:v>
                </c:pt>
                <c:pt idx="5">
                  <c:v>43.2</c:v>
                </c:pt>
                <c:pt idx="6">
                  <c:v>43.8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C16-4B73-ADF6-BB39F93D4DAA}"/>
            </c:ext>
          </c:extLst>
        </c:ser>
        <c:ser>
          <c:idx val="2"/>
          <c:order val="2"/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'6-7p'!$B$22:$B$28</c:f>
              <c:strCache>
                <c:ptCount val="7"/>
                <c:pt idx="0">
                  <c:v>더불어민주당</c:v>
                </c:pt>
                <c:pt idx="1">
                  <c:v>국민의힘</c:v>
                </c:pt>
                <c:pt idx="2">
                  <c:v>조국혁신당</c:v>
                </c:pt>
                <c:pt idx="3">
                  <c:v>개혁신당</c:v>
                </c:pt>
                <c:pt idx="4">
                  <c:v>진보당</c:v>
                </c:pt>
                <c:pt idx="5">
                  <c:v>그 외</c:v>
                </c:pt>
                <c:pt idx="6">
                  <c:v>없음/모름</c:v>
                </c:pt>
              </c:strCache>
            </c:strRef>
          </c:cat>
          <c:val>
            <c:numRef>
              <c:f>'6-7p'!$E$22:$E$28</c:f>
              <c:numCache>
                <c:formatCode>0</c:formatCode>
                <c:ptCount val="7"/>
                <c:pt idx="0">
                  <c:v>95.8</c:v>
                </c:pt>
                <c:pt idx="1">
                  <c:v>14.2</c:v>
                </c:pt>
                <c:pt idx="2">
                  <c:v>93</c:v>
                </c:pt>
                <c:pt idx="3">
                  <c:v>86.4</c:v>
                </c:pt>
                <c:pt idx="4">
                  <c:v>34.5</c:v>
                </c:pt>
                <c:pt idx="5">
                  <c:v>46.4</c:v>
                </c:pt>
                <c:pt idx="6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C16-4B73-ADF6-BB39F93D4D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94505232"/>
        <c:axId val="794513872"/>
      </c:barChart>
      <c:catAx>
        <c:axId val="79450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794513872"/>
        <c:crosses val="autoZero"/>
        <c:auto val="1"/>
        <c:lblAlgn val="ctr"/>
        <c:lblOffset val="100"/>
        <c:noMultiLvlLbl val="0"/>
      </c:catAx>
      <c:valAx>
        <c:axId val="794513872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crossAx val="79450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이재명 대통령 국정운영 지지층 분포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'8p'!$B$1</c:f>
              <c:strCache>
                <c:ptCount val="1"/>
                <c:pt idx="0">
                  <c:v>뉴 이재명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'8p'!$A$2:$A$3</c:f>
              <c:strCache>
                <c:ptCount val="2"/>
                <c:pt idx="0">
                  <c:v>3차 조사</c:v>
                </c:pt>
                <c:pt idx="1">
                  <c:v>2차 조사</c:v>
                </c:pt>
              </c:strCache>
            </c:strRef>
          </c:cat>
          <c:val>
            <c:numRef>
              <c:f>'8p'!$B$2:$B$3</c:f>
              <c:numCache>
                <c:formatCode>0.0%</c:formatCode>
                <c:ptCount val="2"/>
                <c:pt idx="0">
                  <c:v>0.219</c:v>
                </c:pt>
                <c:pt idx="1">
                  <c:v>0.23100000000000001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71-41A1-9AA7-3424499C9BFB}"/>
            </c:ext>
          </c:extLst>
        </c:ser>
        <c:ser>
          <c:idx val="1"/>
          <c:order val="1"/>
          <c:tx>
            <c:strRef>
              <c:f>'8p'!$C$1</c:f>
              <c:strCache>
                <c:ptCount val="1"/>
                <c:pt idx="0">
                  <c:v>올드 이재명 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'8p'!$A$2:$A$3</c:f>
              <c:strCache>
                <c:ptCount val="2"/>
                <c:pt idx="0">
                  <c:v>3차 조사</c:v>
                </c:pt>
                <c:pt idx="1">
                  <c:v>2차 조사</c:v>
                </c:pt>
              </c:strCache>
            </c:strRef>
          </c:cat>
          <c:val>
            <c:numRef>
              <c:f>'8p'!$C$2:$C$3</c:f>
              <c:numCache>
                <c:formatCode>0.0%</c:formatCode>
                <c:ptCount val="2"/>
                <c:pt idx="0">
                  <c:v>0.78100000000000003</c:v>
                </c:pt>
                <c:pt idx="1">
                  <c:v>0.76900000000000002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71-41A1-9AA7-3424499C9B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28325200"/>
        <c:axId val="1128328440"/>
      </c:barChart>
      <c:catAx>
        <c:axId val="1128325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128328440"/>
        <c:crosses val="autoZero"/>
        <c:auto val="1"/>
        <c:lblAlgn val="ctr"/>
        <c:lblOffset val="100"/>
        <c:noMultiLvlLbl val="0"/>
      </c:catAx>
      <c:valAx>
        <c:axId val="1128328440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112832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올드 이재명</a:t>
            </a: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, 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뉴 이재명 정당 지지율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'6p, 9p 표'!$B$64</c:f>
              <c:strCache>
                <c:ptCount val="1"/>
                <c:pt idx="0">
                  <c:v>뉴 이재명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5555555555555679E-3"/>
                  <c:y val="7.834667328012302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55D-4FB8-BBAF-E2D1FD15B31E}"/>
                </c:ext>
              </c:extLst>
            </c:dLbl>
            <c:dLbl>
              <c:idx val="3"/>
              <c:layout>
                <c:manualLayout>
                  <c:x val="-1.111111111111111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55D-4FB8-BBAF-E2D1FD15B31E}"/>
                </c:ext>
              </c:extLst>
            </c:dLbl>
            <c:dLbl>
              <c:idx val="5"/>
              <c:layout>
                <c:manualLayout>
                  <c:x val="-1.1111111111111112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55D-4FB8-BBAF-E2D1FD15B31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'6p, 9p 표'!$C$63:$J$63</c:f>
              <c:strCache>
                <c:ptCount val="8"/>
                <c:pt idx="0">
                  <c:v>더불어
민주당</c:v>
                </c:pt>
                <c:pt idx="1">
                  <c:v>국민의힘</c:v>
                </c:pt>
                <c:pt idx="2">
                  <c:v>조국혁신당</c:v>
                </c:pt>
                <c:pt idx="3">
                  <c:v>진보당</c:v>
                </c:pt>
                <c:pt idx="4">
                  <c:v>개혁신당</c:v>
                </c:pt>
                <c:pt idx="5">
                  <c:v>그 외</c:v>
                </c:pt>
                <c:pt idx="6">
                  <c:v>없음</c:v>
                </c:pt>
                <c:pt idx="7">
                  <c:v>모름</c:v>
                </c:pt>
              </c:strCache>
            </c:strRef>
          </c:cat>
          <c:val>
            <c:numRef>
              <c:f>'6p, 9p 표'!$C$64:$J$64</c:f>
              <c:numCache>
                <c:formatCode>0.0</c:formatCode>
                <c:ptCount val="8"/>
                <c:pt idx="0">
                  <c:v>34.1</c:v>
                </c:pt>
                <c:pt idx="1">
                  <c:v>24.8</c:v>
                </c:pt>
                <c:pt idx="2">
                  <c:v>4</c:v>
                </c:pt>
                <c:pt idx="3">
                  <c:v>1.3</c:v>
                </c:pt>
                <c:pt idx="4">
                  <c:v>13.6</c:v>
                </c:pt>
                <c:pt idx="5">
                  <c:v>2</c:v>
                </c:pt>
                <c:pt idx="6">
                  <c:v>15.5</c:v>
                </c:pt>
                <c:pt idx="7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62-47CC-B42A-E8E537F3850C}"/>
            </c:ext>
          </c:extLst>
        </c:ser>
        <c:ser>
          <c:idx val="1"/>
          <c:order val="1"/>
          <c:tx>
            <c:strRef>
              <c:f>'6p, 9p 표'!$B$65</c:f>
              <c:strCache>
                <c:ptCount val="1"/>
                <c:pt idx="0">
                  <c:v>올드 이재명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'6p, 9p 표'!$C$63:$J$63</c:f>
              <c:strCache>
                <c:ptCount val="8"/>
                <c:pt idx="0">
                  <c:v>더불어
민주당</c:v>
                </c:pt>
                <c:pt idx="1">
                  <c:v>국민의힘</c:v>
                </c:pt>
                <c:pt idx="2">
                  <c:v>조국혁신당</c:v>
                </c:pt>
                <c:pt idx="3">
                  <c:v>진보당</c:v>
                </c:pt>
                <c:pt idx="4">
                  <c:v>개혁신당</c:v>
                </c:pt>
                <c:pt idx="5">
                  <c:v>그 외</c:v>
                </c:pt>
                <c:pt idx="6">
                  <c:v>없음</c:v>
                </c:pt>
                <c:pt idx="7">
                  <c:v>모름</c:v>
                </c:pt>
              </c:strCache>
            </c:strRef>
          </c:cat>
          <c:val>
            <c:numRef>
              <c:f>'6p, 9p 표'!$C$65:$J$65</c:f>
              <c:numCache>
                <c:formatCode>0.0</c:formatCode>
                <c:ptCount val="8"/>
                <c:pt idx="0">
                  <c:v>85.5</c:v>
                </c:pt>
                <c:pt idx="1">
                  <c:v>1.1000000000000001</c:v>
                </c:pt>
                <c:pt idx="2">
                  <c:v>7.8</c:v>
                </c:pt>
                <c:pt idx="3">
                  <c:v>0.8</c:v>
                </c:pt>
                <c:pt idx="4">
                  <c:v>0.4</c:v>
                </c:pt>
                <c:pt idx="5">
                  <c:v>1.7</c:v>
                </c:pt>
                <c:pt idx="6">
                  <c:v>2</c:v>
                </c:pt>
                <c:pt idx="7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62-47CC-B42A-E8E537F38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1430112"/>
        <c:axId val="1071431552"/>
      </c:barChart>
      <c:catAx>
        <c:axId val="107143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endParaRPr lang="ko-KR"/>
          </a:p>
        </c:txPr>
        <c:crossAx val="1071431552"/>
        <c:crosses val="autoZero"/>
        <c:auto val="1"/>
        <c:lblAlgn val="ctr"/>
        <c:lblOffset val="100"/>
        <c:noMultiLvlLbl val="0"/>
      </c:catAx>
      <c:valAx>
        <c:axId val="107143155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07143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[3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차</a:t>
            </a: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] 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현 정부 가장 잘 한 분야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'12p'!$A$2</c:f>
              <c:strCache>
                <c:ptCount val="1"/>
                <c:pt idx="0">
                  <c:v>뉴 이재명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2.2222222222222223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C55-4128-B264-C8617A789CA3}"/>
                </c:ext>
              </c:extLst>
            </c:dLbl>
            <c:dLbl>
              <c:idx val="2"/>
              <c:layout>
                <c:manualLayout>
                  <c:x val="-1.1111111111111112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C55-4128-B264-C8617A789CA3}"/>
                </c:ext>
              </c:extLst>
            </c:dLbl>
            <c:dLbl>
              <c:idx val="4"/>
              <c:layout>
                <c:manualLayout>
                  <c:x val="-1.388888888888899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C55-4128-B264-C8617A789CA3}"/>
                </c:ext>
              </c:extLst>
            </c:dLbl>
            <c:dLbl>
              <c:idx val="5"/>
              <c:layout>
                <c:manualLayout>
                  <c:x val="-1.3888888888888888E-2"/>
                  <c:y val="-1.6975112544026657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C55-4128-B264-C8617A789C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'12p'!$B$1:$H$1</c:f>
              <c:strCache>
                <c:ptCount val="7"/>
                <c:pt idx="0">
                  <c:v>외교/안보</c:v>
                </c:pt>
                <c:pt idx="1">
                  <c:v>경제/조세 </c:v>
                </c:pt>
                <c:pt idx="2">
                  <c:v>복지/노동</c:v>
                </c:pt>
                <c:pt idx="3">
                  <c:v>내란극복 </c:v>
                </c:pt>
                <c:pt idx="4">
                  <c:v>정치/소통</c:v>
                </c:pt>
                <c:pt idx="5">
                  <c:v>기타</c:v>
                </c:pt>
                <c:pt idx="6">
                  <c:v>모름</c:v>
                </c:pt>
              </c:strCache>
            </c:strRef>
          </c:cat>
          <c:val>
            <c:numRef>
              <c:f>'12p'!$B$2:$H$2</c:f>
              <c:numCache>
                <c:formatCode>0.0</c:formatCode>
                <c:ptCount val="7"/>
                <c:pt idx="0">
                  <c:v>65.099999999999994</c:v>
                </c:pt>
                <c:pt idx="1">
                  <c:v>33.9</c:v>
                </c:pt>
                <c:pt idx="2">
                  <c:v>34.4</c:v>
                </c:pt>
                <c:pt idx="3">
                  <c:v>25.5</c:v>
                </c:pt>
                <c:pt idx="4">
                  <c:v>16.7</c:v>
                </c:pt>
                <c:pt idx="5">
                  <c:v>3.2</c:v>
                </c:pt>
                <c:pt idx="6">
                  <c:v>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63-4871-813E-162F4A2FFBA5}"/>
            </c:ext>
          </c:extLst>
        </c:ser>
        <c:ser>
          <c:idx val="1"/>
          <c:order val="1"/>
          <c:tx>
            <c:strRef>
              <c:f>'12p'!$A$3</c:f>
              <c:strCache>
                <c:ptCount val="1"/>
                <c:pt idx="0">
                  <c:v>올드 이재명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388888888888883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C55-4128-B264-C8617A789CA3}"/>
                </c:ext>
              </c:extLst>
            </c:dLbl>
            <c:dLbl>
              <c:idx val="3"/>
              <c:layout>
                <c:manualLayout>
                  <c:x val="1.388888888888878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C55-4128-B264-C8617A789CA3}"/>
                </c:ext>
              </c:extLst>
            </c:dLbl>
            <c:dLbl>
              <c:idx val="4"/>
              <c:layout>
                <c:manualLayout>
                  <c:x val="1.3888888888888888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C55-4128-B264-C8617A789C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'12p'!$B$1:$H$1</c:f>
              <c:strCache>
                <c:ptCount val="7"/>
                <c:pt idx="0">
                  <c:v>외교/안보</c:v>
                </c:pt>
                <c:pt idx="1">
                  <c:v>경제/조세 </c:v>
                </c:pt>
                <c:pt idx="2">
                  <c:v>복지/노동</c:v>
                </c:pt>
                <c:pt idx="3">
                  <c:v>내란극복 </c:v>
                </c:pt>
                <c:pt idx="4">
                  <c:v>정치/소통</c:v>
                </c:pt>
                <c:pt idx="5">
                  <c:v>기타</c:v>
                </c:pt>
                <c:pt idx="6">
                  <c:v>모름</c:v>
                </c:pt>
              </c:strCache>
            </c:strRef>
          </c:cat>
          <c:val>
            <c:numRef>
              <c:f>'12p'!$B$3:$H$3</c:f>
              <c:numCache>
                <c:formatCode>0.0</c:formatCode>
                <c:ptCount val="7"/>
                <c:pt idx="0">
                  <c:v>86.2</c:v>
                </c:pt>
                <c:pt idx="1">
                  <c:v>34.799999999999997</c:v>
                </c:pt>
                <c:pt idx="2">
                  <c:v>29.3</c:v>
                </c:pt>
                <c:pt idx="3">
                  <c:v>33</c:v>
                </c:pt>
                <c:pt idx="4">
                  <c:v>13.4</c:v>
                </c:pt>
                <c:pt idx="5">
                  <c:v>0.5</c:v>
                </c:pt>
                <c:pt idx="6">
                  <c:v>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63-4871-813E-162F4A2FF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323040"/>
        <c:axId val="1128318720"/>
      </c:barChart>
      <c:catAx>
        <c:axId val="112832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128318720"/>
        <c:crosses val="autoZero"/>
        <c:auto val="1"/>
        <c:lblAlgn val="ctr"/>
        <c:lblOffset val="100"/>
        <c:noMultiLvlLbl val="0"/>
      </c:catAx>
      <c:valAx>
        <c:axId val="112831872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12832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[3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차</a:t>
            </a: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] 2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년차 최우선 국정 과제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'12p'!$A$23</c:f>
              <c:strCache>
                <c:ptCount val="1"/>
                <c:pt idx="0">
                  <c:v>뉴 이재명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'12p'!$B$22:$I$22</c:f>
              <c:strCache>
                <c:ptCount val="8"/>
                <c:pt idx="0">
                  <c:v>민생경제
회복</c:v>
                </c:pt>
                <c:pt idx="1">
                  <c:v>부동산
시장안정</c:v>
                </c:pt>
                <c:pt idx="2">
                  <c:v>저출생/
고령화
대책</c:v>
                </c:pt>
                <c:pt idx="3">
                  <c:v>국민통합
및 협치</c:v>
                </c:pt>
                <c:pt idx="4">
                  <c:v>내란극복 </c:v>
                </c:pt>
                <c:pt idx="5">
                  <c:v>외교/안보 강화</c:v>
                </c:pt>
                <c:pt idx="6">
                  <c:v>기타</c:v>
                </c:pt>
                <c:pt idx="7">
                  <c:v>모름</c:v>
                </c:pt>
              </c:strCache>
            </c:strRef>
          </c:cat>
          <c:val>
            <c:numRef>
              <c:f>'12p'!$B$23:$I$23</c:f>
              <c:numCache>
                <c:formatCode>0.0</c:formatCode>
                <c:ptCount val="8"/>
                <c:pt idx="0">
                  <c:v>53.3</c:v>
                </c:pt>
                <c:pt idx="1">
                  <c:v>12.6</c:v>
                </c:pt>
                <c:pt idx="2">
                  <c:v>9.3000000000000007</c:v>
                </c:pt>
                <c:pt idx="3">
                  <c:v>11.1</c:v>
                </c:pt>
                <c:pt idx="4">
                  <c:v>7</c:v>
                </c:pt>
                <c:pt idx="5">
                  <c:v>2.4</c:v>
                </c:pt>
                <c:pt idx="6">
                  <c:v>1.7</c:v>
                </c:pt>
                <c:pt idx="7">
                  <c:v>2.6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FC-4212-8C43-C54C545D309A}"/>
            </c:ext>
          </c:extLst>
        </c:ser>
        <c:ser>
          <c:idx val="1"/>
          <c:order val="1"/>
          <c:tx>
            <c:strRef>
              <c:f>'12p'!$A$24</c:f>
              <c:strCache>
                <c:ptCount val="1"/>
                <c:pt idx="0">
                  <c:v>올드 이재명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666666666666666E-2"/>
                  <c:y val="-4.007239682524325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E5-4AD2-A583-79DFB37536C0}"/>
                </c:ext>
              </c:extLst>
            </c:dLbl>
            <c:dLbl>
              <c:idx val="5"/>
              <c:layout>
                <c:manualLayout>
                  <c:x val="1.3888888888888888E-2"/>
                  <c:y val="-8.01447936504865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E5-4AD2-A583-79DFB37536C0}"/>
                </c:ext>
              </c:extLst>
            </c:dLbl>
            <c:dLbl>
              <c:idx val="6"/>
              <c:layout>
                <c:manualLayout>
                  <c:x val="1.3888888888888788E-2"/>
                  <c:y val="-8.01447936504865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E5-4AD2-A583-79DFB37536C0}"/>
                </c:ext>
              </c:extLst>
            </c:dLbl>
            <c:dLbl>
              <c:idx val="7"/>
              <c:layout>
                <c:manualLayout>
                  <c:x val="8.3333333333331303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E5-4AD2-A583-79DFB37536C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'12p'!$B$22:$I$22</c:f>
              <c:strCache>
                <c:ptCount val="8"/>
                <c:pt idx="0">
                  <c:v>민생경제
회복</c:v>
                </c:pt>
                <c:pt idx="1">
                  <c:v>부동산
시장안정</c:v>
                </c:pt>
                <c:pt idx="2">
                  <c:v>저출생/
고령화
대책</c:v>
                </c:pt>
                <c:pt idx="3">
                  <c:v>국민통합
및 협치</c:v>
                </c:pt>
                <c:pt idx="4">
                  <c:v>내란극복 </c:v>
                </c:pt>
                <c:pt idx="5">
                  <c:v>외교/안보 강화</c:v>
                </c:pt>
                <c:pt idx="6">
                  <c:v>기타</c:v>
                </c:pt>
                <c:pt idx="7">
                  <c:v>모름</c:v>
                </c:pt>
              </c:strCache>
            </c:strRef>
          </c:cat>
          <c:val>
            <c:numRef>
              <c:f>'12p'!$B$24:$I$24</c:f>
              <c:numCache>
                <c:formatCode>0.0</c:formatCode>
                <c:ptCount val="8"/>
                <c:pt idx="0">
                  <c:v>49.2</c:v>
                </c:pt>
                <c:pt idx="1">
                  <c:v>7.1</c:v>
                </c:pt>
                <c:pt idx="2">
                  <c:v>4.4000000000000004</c:v>
                </c:pt>
                <c:pt idx="3">
                  <c:v>5.7</c:v>
                </c:pt>
                <c:pt idx="4">
                  <c:v>29.7</c:v>
                </c:pt>
                <c:pt idx="5">
                  <c:v>2.2999999999999998</c:v>
                </c:pt>
                <c:pt idx="6">
                  <c:v>1.1000000000000001</c:v>
                </c:pt>
                <c:pt idx="7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FC-4212-8C43-C54C545D3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323040"/>
        <c:axId val="1128318720"/>
      </c:barChart>
      <c:catAx>
        <c:axId val="112832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128318720"/>
        <c:crosses val="autoZero"/>
        <c:auto val="1"/>
        <c:lblAlgn val="ctr"/>
        <c:lblOffset val="100"/>
        <c:noMultiLvlLbl val="0"/>
      </c:catAx>
      <c:valAx>
        <c:axId val="112831872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12832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[3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차</a:t>
            </a: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] 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기관별 신뢰도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'14-15p'!$A$5</c:f>
              <c:strCache>
                <c:ptCount val="1"/>
                <c:pt idx="0">
                  <c:v>뉴 이재명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'14-15p'!$B$4:$G$4</c:f>
              <c:strCache>
                <c:ptCount val="6"/>
                <c:pt idx="0">
                  <c:v>국회</c:v>
                </c:pt>
                <c:pt idx="1">
                  <c:v>헌재</c:v>
                </c:pt>
                <c:pt idx="2">
                  <c:v>선관위</c:v>
                </c:pt>
                <c:pt idx="3">
                  <c:v>법원</c:v>
                </c:pt>
                <c:pt idx="4">
                  <c:v>행정부</c:v>
                </c:pt>
                <c:pt idx="5">
                  <c:v>검찰</c:v>
                </c:pt>
              </c:strCache>
            </c:strRef>
          </c:cat>
          <c:val>
            <c:numRef>
              <c:f>'14-15p'!$B$5:$G$5</c:f>
              <c:numCache>
                <c:formatCode>0.0</c:formatCode>
                <c:ptCount val="6"/>
                <c:pt idx="0">
                  <c:v>4.2</c:v>
                </c:pt>
                <c:pt idx="1">
                  <c:v>6</c:v>
                </c:pt>
                <c:pt idx="2">
                  <c:v>5.5</c:v>
                </c:pt>
                <c:pt idx="3">
                  <c:v>5.4</c:v>
                </c:pt>
                <c:pt idx="4">
                  <c:v>5.4</c:v>
                </c:pt>
                <c:pt idx="5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D-442F-9FF2-82FC05230212}"/>
            </c:ext>
          </c:extLst>
        </c:ser>
        <c:ser>
          <c:idx val="1"/>
          <c:order val="1"/>
          <c:tx>
            <c:strRef>
              <c:f>'14-15p'!$A$6</c:f>
              <c:strCache>
                <c:ptCount val="1"/>
                <c:pt idx="0">
                  <c:v>올드 이재명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'14-15p'!$B$4:$G$4</c:f>
              <c:strCache>
                <c:ptCount val="6"/>
                <c:pt idx="0">
                  <c:v>국회</c:v>
                </c:pt>
                <c:pt idx="1">
                  <c:v>헌재</c:v>
                </c:pt>
                <c:pt idx="2">
                  <c:v>선관위</c:v>
                </c:pt>
                <c:pt idx="3">
                  <c:v>법원</c:v>
                </c:pt>
                <c:pt idx="4">
                  <c:v>행정부</c:v>
                </c:pt>
                <c:pt idx="5">
                  <c:v>검찰</c:v>
                </c:pt>
              </c:strCache>
            </c:strRef>
          </c:cat>
          <c:val>
            <c:numRef>
              <c:f>'14-15p'!$B$6:$G$6</c:f>
              <c:numCache>
                <c:formatCode>0.0</c:formatCode>
                <c:ptCount val="6"/>
                <c:pt idx="0">
                  <c:v>5.5</c:v>
                </c:pt>
                <c:pt idx="1">
                  <c:v>6.2</c:v>
                </c:pt>
                <c:pt idx="2">
                  <c:v>6.9</c:v>
                </c:pt>
                <c:pt idx="3">
                  <c:v>3.4</c:v>
                </c:pt>
                <c:pt idx="4">
                  <c:v>6.2</c:v>
                </c:pt>
                <c:pt idx="5">
                  <c:v>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AD-442F-9FF2-82FC052302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323040"/>
        <c:axId val="1128318720"/>
      </c:barChart>
      <c:catAx>
        <c:axId val="112832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128318720"/>
        <c:crosses val="autoZero"/>
        <c:auto val="1"/>
        <c:lblAlgn val="ctr"/>
        <c:lblOffset val="100"/>
        <c:noMultiLvlLbl val="0"/>
      </c:catAx>
      <c:valAx>
        <c:axId val="112831872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12832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[3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차</a:t>
            </a: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] 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검찰 보완수사권 폐지 관련 인식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'14-15p'!$A$23</c:f>
              <c:strCache>
                <c:ptCount val="1"/>
                <c:pt idx="0">
                  <c:v>뉴 이재명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'14-15p'!$B$22:$D$22</c:f>
              <c:strCache>
                <c:ptCount val="3"/>
                <c:pt idx="0">
                  <c:v>완전 폐지 찬성</c:v>
                </c:pt>
                <c:pt idx="1">
                  <c:v>일부 존치, 폐지 반대</c:v>
                </c:pt>
                <c:pt idx="2">
                  <c:v>잘 모르겠다</c:v>
                </c:pt>
              </c:strCache>
            </c:strRef>
          </c:cat>
          <c:val>
            <c:numRef>
              <c:f>'14-15p'!$B$23:$D$23</c:f>
              <c:numCache>
                <c:formatCode>0.0</c:formatCode>
                <c:ptCount val="3"/>
                <c:pt idx="0">
                  <c:v>25.6</c:v>
                </c:pt>
                <c:pt idx="1">
                  <c:v>57.7</c:v>
                </c:pt>
                <c:pt idx="2">
                  <c:v>16.7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BE-412E-A6C3-ED407288E4F7}"/>
            </c:ext>
          </c:extLst>
        </c:ser>
        <c:ser>
          <c:idx val="1"/>
          <c:order val="1"/>
          <c:tx>
            <c:strRef>
              <c:f>'14-15p'!$A$24</c:f>
              <c:strCache>
                <c:ptCount val="1"/>
                <c:pt idx="0">
                  <c:v>올드 이재명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'14-15p'!$B$22:$D$22</c:f>
              <c:strCache>
                <c:ptCount val="3"/>
                <c:pt idx="0">
                  <c:v>완전 폐지 찬성</c:v>
                </c:pt>
                <c:pt idx="1">
                  <c:v>일부 존치, 폐지 반대</c:v>
                </c:pt>
                <c:pt idx="2">
                  <c:v>잘 모르겠다</c:v>
                </c:pt>
              </c:strCache>
            </c:strRef>
          </c:cat>
          <c:val>
            <c:numRef>
              <c:f>'14-15p'!$B$24:$D$24</c:f>
              <c:numCache>
                <c:formatCode>0.0</c:formatCode>
                <c:ptCount val="3"/>
                <c:pt idx="0">
                  <c:v>66.5</c:v>
                </c:pt>
                <c:pt idx="1">
                  <c:v>25</c:v>
                </c:pt>
                <c:pt idx="2">
                  <c:v>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BE-412E-A6C3-ED407288E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323040"/>
        <c:axId val="1128318720"/>
      </c:barChart>
      <c:catAx>
        <c:axId val="112832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128318720"/>
        <c:crosses val="autoZero"/>
        <c:auto val="1"/>
        <c:lblAlgn val="ctr"/>
        <c:lblOffset val="100"/>
        <c:noMultiLvlLbl val="0"/>
      </c:catAx>
      <c:valAx>
        <c:axId val="112831872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12832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[3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차</a:t>
            </a: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] 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재판소원제 관련 인식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'14-15p'!$A$28</c:f>
              <c:strCache>
                <c:ptCount val="1"/>
                <c:pt idx="0">
                  <c:v>뉴 이재명</c:v>
                </c:pt>
              </c:strCache>
            </c:strRef>
          </c:tx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'14-15p'!$B$27:$D$27</c:f>
              <c:strCache>
                <c:ptCount val="3"/>
                <c:pt idx="0">
                  <c:v>찬성한다</c:v>
                </c:pt>
                <c:pt idx="1">
                  <c:v>반대한다</c:v>
                </c:pt>
                <c:pt idx="2">
                  <c:v>잘 모르겠다</c:v>
                </c:pt>
              </c:strCache>
            </c:strRef>
          </c:cat>
          <c:val>
            <c:numRef>
              <c:f>'14-15p'!$B$28:$D$28</c:f>
              <c:numCache>
                <c:formatCode>0.0</c:formatCode>
                <c:ptCount val="3"/>
                <c:pt idx="0">
                  <c:v>54.3</c:v>
                </c:pt>
                <c:pt idx="1">
                  <c:v>28.4</c:v>
                </c:pt>
                <c:pt idx="2">
                  <c:v>17.3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A-48DF-B50B-FD032E621AB4}"/>
            </c:ext>
          </c:extLst>
        </c:ser>
        <c:ser>
          <c:idx val="1"/>
          <c:order val="1"/>
          <c:tx>
            <c:strRef>
              <c:f>'14-15p'!$A$29</c:f>
              <c:strCache>
                <c:ptCount val="1"/>
                <c:pt idx="0">
                  <c:v>올드 이재명</c:v>
                </c:pt>
              </c:strCache>
            </c:strRef>
          </c:tx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'14-15p'!$B$27:$D$27</c:f>
              <c:strCache>
                <c:ptCount val="3"/>
                <c:pt idx="0">
                  <c:v>찬성한다</c:v>
                </c:pt>
                <c:pt idx="1">
                  <c:v>반대한다</c:v>
                </c:pt>
                <c:pt idx="2">
                  <c:v>잘 모르겠다</c:v>
                </c:pt>
              </c:strCache>
            </c:strRef>
          </c:cat>
          <c:val>
            <c:numRef>
              <c:f>'14-15p'!$B$29:$D$29</c:f>
              <c:numCache>
                <c:formatCode>0.0</c:formatCode>
                <c:ptCount val="3"/>
                <c:pt idx="0">
                  <c:v>83</c:v>
                </c:pt>
                <c:pt idx="1">
                  <c:v>9.1</c:v>
                </c:pt>
                <c:pt idx="2">
                  <c:v>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FA-48DF-B50B-FD032E621A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323040"/>
        <c:axId val="1128318720"/>
      </c:barChart>
      <c:catAx>
        <c:axId val="112832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128318720"/>
        <c:crosses val="autoZero"/>
        <c:auto val="1"/>
        <c:lblAlgn val="ctr"/>
        <c:lblOffset val="100"/>
        <c:noMultiLvlLbl val="0"/>
      </c:catAx>
      <c:valAx>
        <c:axId val="112831872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12832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6" panose="02020600000000000000" pitchFamily="18" charset="-127"/>
                <a:ea typeface="a고딕16" panose="02020600000000000000" pitchFamily="18" charset="-127"/>
                <a:cs typeface="+mn-cs"/>
              </a:defRPr>
            </a:pP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[2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차</a:t>
            </a:r>
            <a:r>
              <a:rPr lang="en-US" altLang="ko-KR">
                <a:latin typeface="a고딕16" panose="02020600000000000000" pitchFamily="18" charset="-127"/>
                <a:ea typeface="a고딕16" panose="02020600000000000000" pitchFamily="18" charset="-127"/>
              </a:rPr>
              <a:t>] </a:t>
            </a:r>
            <a:r>
              <a:rPr lang="ko-KR" altLang="en-US">
                <a:latin typeface="a고딕16" panose="02020600000000000000" pitchFamily="18" charset="-127"/>
                <a:ea typeface="a고딕16" panose="02020600000000000000" pitchFamily="18" charset="-127"/>
              </a:rPr>
              <a:t>정책</a:t>
            </a:r>
            <a:r>
              <a:rPr lang="ko-KR" altLang="en-US" baseline="0">
                <a:latin typeface="a고딕16" panose="02020600000000000000" pitchFamily="18" charset="-127"/>
                <a:ea typeface="a고딕16" panose="02020600000000000000" pitchFamily="18" charset="-127"/>
              </a:rPr>
              <a:t> 방향에 대한 찬성 비율</a:t>
            </a:r>
            <a:endParaRPr lang="ko-KR" altLang="en-US">
              <a:latin typeface="a고딕16" panose="02020600000000000000" pitchFamily="18" charset="-127"/>
              <a:ea typeface="a고딕16" panose="02020600000000000000" pitchFamily="18" charset="-127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고딕16" panose="02020600000000000000" pitchFamily="18" charset="-127"/>
              <a:ea typeface="a고딕16" panose="02020600000000000000" pitchFamily="18" charset="-127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Sheet1!$I$45</c:f>
              <c:strCache>
                <c:ptCount val="1"/>
                <c:pt idx="0">
                  <c:v>뉴 이재명</c:v>
                </c:pt>
              </c:strCache>
            </c:strRef>
          </c:tx>
          <c:spPr>
            <a:solidFill>
              <a:schemeClr val="accent4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8.819444444444444E-3"/>
                  <c:y val="-8.084397349092695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C98-4695-BBF2-EDDE4AF0580A}"/>
                </c:ext>
              </c:extLst>
            </c:dLbl>
            <c:dLbl>
              <c:idx val="5"/>
              <c:layout>
                <c:manualLayout>
                  <c:x val="-1.1759259259259367E-2"/>
                  <c:y val="-8.084397349092695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C98-4695-BBF2-EDDE4AF058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Sheet1!$J$44:$O$44</c:f>
              <c:strCache>
                <c:ptCount val="6"/>
                <c:pt idx="0">
                  <c:v>복지확대</c:v>
                </c:pt>
                <c:pt idx="1">
                  <c:v>부자증세</c:v>
                </c:pt>
                <c:pt idx="2">
                  <c:v>최저임금 인상</c:v>
                </c:pt>
                <c:pt idx="3">
                  <c:v>핵무장</c:v>
                </c:pt>
                <c:pt idx="4">
                  <c:v>방위비 분담금 인상</c:v>
                </c:pt>
                <c:pt idx="5">
                  <c:v>차별금지법 제정</c:v>
                </c:pt>
              </c:strCache>
            </c:strRef>
          </c:cat>
          <c:val>
            <c:numRef>
              <c:f>Sheet1!$J$45:$O$45</c:f>
              <c:numCache>
                <c:formatCode>0.0</c:formatCode>
                <c:ptCount val="6"/>
                <c:pt idx="0">
                  <c:v>59.1</c:v>
                </c:pt>
                <c:pt idx="1">
                  <c:v>64.900000000000006</c:v>
                </c:pt>
                <c:pt idx="2">
                  <c:v>46.9</c:v>
                </c:pt>
                <c:pt idx="3">
                  <c:v>65.3</c:v>
                </c:pt>
                <c:pt idx="4">
                  <c:v>33.6</c:v>
                </c:pt>
                <c:pt idx="5">
                  <c:v>59.8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98-4695-BBF2-EDDE4AF0580A}"/>
            </c:ext>
          </c:extLst>
        </c:ser>
        <c:ser>
          <c:idx val="1"/>
          <c:order val="1"/>
          <c:tx>
            <c:strRef>
              <c:f>Sheet1!$I$46</c:f>
              <c:strCache>
                <c:ptCount val="1"/>
                <c:pt idx="0">
                  <c:v>올드 이재명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8.8194444444443364E-3"/>
                  <c:y val="-8.0843973490926958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98-4695-BBF2-EDDE4AF058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Sheet1!$J$44:$O$44</c:f>
              <c:strCache>
                <c:ptCount val="6"/>
                <c:pt idx="0">
                  <c:v>복지확대</c:v>
                </c:pt>
                <c:pt idx="1">
                  <c:v>부자증세</c:v>
                </c:pt>
                <c:pt idx="2">
                  <c:v>최저임금 인상</c:v>
                </c:pt>
                <c:pt idx="3">
                  <c:v>핵무장</c:v>
                </c:pt>
                <c:pt idx="4">
                  <c:v>방위비 분담금 인상</c:v>
                </c:pt>
                <c:pt idx="5">
                  <c:v>차별금지법 제정</c:v>
                </c:pt>
              </c:strCache>
            </c:strRef>
          </c:cat>
          <c:val>
            <c:numRef>
              <c:f>Sheet1!$J$46:$O$46</c:f>
              <c:numCache>
                <c:formatCode>0.0</c:formatCode>
                <c:ptCount val="6"/>
                <c:pt idx="0">
                  <c:v>79.900000000000006</c:v>
                </c:pt>
                <c:pt idx="1">
                  <c:v>89.1</c:v>
                </c:pt>
                <c:pt idx="2">
                  <c:v>75.5</c:v>
                </c:pt>
                <c:pt idx="3">
                  <c:v>55</c:v>
                </c:pt>
                <c:pt idx="4">
                  <c:v>21</c:v>
                </c:pt>
                <c:pt idx="5">
                  <c:v>81.8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98-4695-BBF2-EDDE4AF0580A}"/>
            </c:ext>
          </c:extLst>
        </c:ser>
        <c:ser>
          <c:idx val="2"/>
          <c:order val="2"/>
          <c:tx>
            <c:strRef>
              <c:f>Sheet1!$I$47</c:f>
              <c:strCache>
                <c:ptCount val="1"/>
                <c:pt idx="0">
                  <c:v>전체 국민</c:v>
                </c:pt>
              </c:strCache>
            </c:strRef>
          </c:tx>
          <c:spPr>
            <a:solidFill>
              <a:schemeClr val="accent4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763888888888888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C98-4695-BBF2-EDDE4AF0580A}"/>
                </c:ext>
              </c:extLst>
            </c:dLbl>
            <c:dLbl>
              <c:idx val="1"/>
              <c:layout>
                <c:manualLayout>
                  <c:x val="1.1759259259259259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C98-4695-BBF2-EDDE4AF0580A}"/>
                </c:ext>
              </c:extLst>
            </c:dLbl>
            <c:dLbl>
              <c:idx val="2"/>
              <c:layout>
                <c:manualLayout>
                  <c:x val="8.819444444444444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EC98-4695-BBF2-EDDE4AF058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고딕12" panose="02020600000000000000" pitchFamily="18" charset="-127"/>
                    <a:ea typeface="a고딕12" panose="02020600000000000000" pitchFamily="18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Sheet1!$J$44:$O$44</c:f>
              <c:strCache>
                <c:ptCount val="6"/>
                <c:pt idx="0">
                  <c:v>복지확대</c:v>
                </c:pt>
                <c:pt idx="1">
                  <c:v>부자증세</c:v>
                </c:pt>
                <c:pt idx="2">
                  <c:v>최저임금 인상</c:v>
                </c:pt>
                <c:pt idx="3">
                  <c:v>핵무장</c:v>
                </c:pt>
                <c:pt idx="4">
                  <c:v>방위비 분담금 인상</c:v>
                </c:pt>
                <c:pt idx="5">
                  <c:v>차별금지법 제정</c:v>
                </c:pt>
              </c:strCache>
            </c:strRef>
          </c:cat>
          <c:val>
            <c:numRef>
              <c:f>Sheet1!$J$47:$O$47</c:f>
              <c:numCache>
                <c:formatCode>General</c:formatCode>
                <c:ptCount val="6"/>
                <c:pt idx="0">
                  <c:v>60.4</c:v>
                </c:pt>
                <c:pt idx="1">
                  <c:v>68.8</c:v>
                </c:pt>
                <c:pt idx="2">
                  <c:v>53.3</c:v>
                </c:pt>
                <c:pt idx="3">
                  <c:v>65.2</c:v>
                </c:pt>
                <c:pt idx="4">
                  <c:v>35.4</c:v>
                </c:pt>
                <c:pt idx="5">
                  <c:v>64.099999999999994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C98-4695-BBF2-EDDE4AF05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8323040"/>
        <c:axId val="1128318720"/>
      </c:barChart>
      <c:catAx>
        <c:axId val="112832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고딕12" panose="02020600000000000000" pitchFamily="18" charset="-127"/>
                <a:ea typeface="a고딕12" panose="02020600000000000000" pitchFamily="18" charset="-127"/>
                <a:cs typeface="+mn-cs"/>
              </a:defRPr>
            </a:pPr>
            <a:endParaRPr lang="ko-KR"/>
          </a:p>
        </c:txPr>
        <c:crossAx val="1128318720"/>
        <c:crosses val="autoZero"/>
        <c:auto val="1"/>
        <c:lblAlgn val="ctr"/>
        <c:lblOffset val="100"/>
        <c:noMultiLvlLbl val="0"/>
      </c:catAx>
      <c:valAx>
        <c:axId val="1128318720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crossAx val="1128323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고딕12" panose="02020600000000000000" pitchFamily="18" charset="-127"/>
              <a:ea typeface="a고딕12" panose="02020600000000000000" pitchFamily="18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3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9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3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colors1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5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6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7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8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0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0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85725</xdr:colOff>
      <xdr:row>1</xdr:row>
      <xdr:rowOff>114300</xdr:rowOff>
    </xdr:from>
    <xdr:to>
      <xdr:col>18</xdr:col>
      <xdr:colOff>290925</xdr:colOff>
      <xdr:row>10</xdr:row>
      <xdr:rowOff>159750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D9D33D7-ADD3-EFEC-708A-C647B21D7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17</xdr:row>
      <xdr:rowOff>0</xdr:rowOff>
    </xdr:from>
    <xdr:to>
      <xdr:col>18</xdr:col>
      <xdr:colOff>205200</xdr:colOff>
      <xdr:row>26</xdr:row>
      <xdr:rowOff>45450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136879DE-5D71-4591-B7CF-9B2C05FA4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9525</xdr:colOff>
      <xdr:row>34</xdr:row>
      <xdr:rowOff>180975</xdr:rowOff>
    </xdr:from>
    <xdr:to>
      <xdr:col>18</xdr:col>
      <xdr:colOff>466725</xdr:colOff>
      <xdr:row>47</xdr:row>
      <xdr:rowOff>200025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164014D4-6B6E-46CF-A808-C53291E66D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409575</xdr:colOff>
      <xdr:row>51</xdr:row>
      <xdr:rowOff>142875</xdr:rowOff>
    </xdr:from>
    <xdr:to>
      <xdr:col>16</xdr:col>
      <xdr:colOff>614775</xdr:colOff>
      <xdr:row>65</xdr:row>
      <xdr:rowOff>89175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9A8D2E07-54F8-4135-B554-747373048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576262</xdr:colOff>
      <xdr:row>71</xdr:row>
      <xdr:rowOff>190500</xdr:rowOff>
    </xdr:from>
    <xdr:to>
      <xdr:col>13</xdr:col>
      <xdr:colOff>347662</xdr:colOff>
      <xdr:row>85</xdr:row>
      <xdr:rowOff>0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9DF314E3-0FE9-5DF3-C008-A6DBDF5BC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0</xdr:colOff>
      <xdr:row>103</xdr:row>
      <xdr:rowOff>0</xdr:rowOff>
    </xdr:from>
    <xdr:to>
      <xdr:col>18</xdr:col>
      <xdr:colOff>205200</xdr:colOff>
      <xdr:row>116</xdr:row>
      <xdr:rowOff>155850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770D7D1A-7760-4C24-BA09-B888D9D5FE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128</xdr:row>
      <xdr:rowOff>0</xdr:rowOff>
    </xdr:from>
    <xdr:to>
      <xdr:col>14</xdr:col>
      <xdr:colOff>457200</xdr:colOff>
      <xdr:row>141</xdr:row>
      <xdr:rowOff>19050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CC6276E8-C5D1-416B-9F8E-B73B4F05BD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0.81736</cdr:x>
      <cdr:y>0.13248</cdr:y>
    </cdr:from>
    <cdr:to>
      <cdr:x>0.96528</cdr:x>
      <cdr:y>0.2062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B78C4B0A-A37D-B85E-F18C-A6CAE5E9B5DA}"/>
            </a:ext>
          </a:extLst>
        </cdr:cNvPr>
        <cdr:cNvSpPr txBox="1"/>
      </cdr:nvSpPr>
      <cdr:spPr>
        <a:xfrm xmlns:a="http://schemas.openxmlformats.org/drawingml/2006/main">
          <a:off x="3736975" y="393700"/>
          <a:ext cx="676275" cy="2190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0.83403</cdr:x>
      <cdr:y>0.12004</cdr:y>
    </cdr:from>
    <cdr:to>
      <cdr:x>0.98194</cdr:x>
      <cdr:y>0.18849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5B5DF0EB-8BEE-27FB-9281-A776FA01D9BE}"/>
            </a:ext>
          </a:extLst>
        </cdr:cNvPr>
        <cdr:cNvSpPr txBox="1"/>
      </cdr:nvSpPr>
      <cdr:spPr>
        <a:xfrm xmlns:a="http://schemas.openxmlformats.org/drawingml/2006/main">
          <a:off x="3813175" y="384175"/>
          <a:ext cx="676275" cy="2190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0.84028</cdr:x>
      <cdr:y>0.14209</cdr:y>
    </cdr:from>
    <cdr:to>
      <cdr:x>0.9882</cdr:x>
      <cdr:y>0.21581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4035492D-FAB9-411F-5E9F-19BC330589B4}"/>
            </a:ext>
          </a:extLst>
        </cdr:cNvPr>
        <cdr:cNvSpPr txBox="1"/>
      </cdr:nvSpPr>
      <cdr:spPr>
        <a:xfrm xmlns:a="http://schemas.openxmlformats.org/drawingml/2006/main">
          <a:off x="3841750" y="422275"/>
          <a:ext cx="676290" cy="21906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0.84224</cdr:x>
      <cdr:y>0.13988</cdr:y>
    </cdr:from>
    <cdr:to>
      <cdr:x>0.99016</cdr:x>
      <cdr:y>0.20833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E67A570D-1DC0-D123-5117-AC38AB09335C}"/>
            </a:ext>
          </a:extLst>
        </cdr:cNvPr>
        <cdr:cNvSpPr txBox="1"/>
      </cdr:nvSpPr>
      <cdr:spPr>
        <a:xfrm xmlns:a="http://schemas.openxmlformats.org/drawingml/2006/main">
          <a:off x="3638456" y="402865"/>
          <a:ext cx="639014" cy="19713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0.84726</cdr:x>
      <cdr:y>0.14138</cdr:y>
    </cdr:from>
    <cdr:to>
      <cdr:x>0.99517</cdr:x>
      <cdr:y>0.2151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CD34DC8B-31AD-3AF0-8D96-34B1A17C636C}"/>
            </a:ext>
          </a:extLst>
        </cdr:cNvPr>
        <cdr:cNvSpPr txBox="1"/>
      </cdr:nvSpPr>
      <cdr:spPr>
        <a:xfrm xmlns:a="http://schemas.openxmlformats.org/drawingml/2006/main">
          <a:off x="3660160" y="407171"/>
          <a:ext cx="638971" cy="212314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285750</xdr:colOff>
      <xdr:row>0</xdr:row>
      <xdr:rowOff>176212</xdr:rowOff>
    </xdr:from>
    <xdr:to>
      <xdr:col>14</xdr:col>
      <xdr:colOff>490950</xdr:colOff>
      <xdr:row>8</xdr:row>
      <xdr:rowOff>183562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E030C313-243D-95EE-425A-7D03F3F72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371475</xdr:colOff>
      <xdr:row>12</xdr:row>
      <xdr:rowOff>38100</xdr:rowOff>
    </xdr:from>
    <xdr:to>
      <xdr:col>14</xdr:col>
      <xdr:colOff>576675</xdr:colOff>
      <xdr:row>17</xdr:row>
      <xdr:rowOff>216900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EFBBCC18-6C1F-43D3-8E10-B515545A1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485775</xdr:colOff>
      <xdr:row>21</xdr:row>
      <xdr:rowOff>19050</xdr:rowOff>
    </xdr:from>
    <xdr:to>
      <xdr:col>15</xdr:col>
      <xdr:colOff>5175</xdr:colOff>
      <xdr:row>31</xdr:row>
      <xdr:rowOff>83550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4E9489ED-8F05-415C-A37E-1122494CFE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35</xdr:row>
      <xdr:rowOff>0</xdr:rowOff>
    </xdr:from>
    <xdr:to>
      <xdr:col>16</xdr:col>
      <xdr:colOff>239400</xdr:colOff>
      <xdr:row>45</xdr:row>
      <xdr:rowOff>64500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26230C52-C04F-4C48-B72A-C776CF932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49</xdr:row>
      <xdr:rowOff>0</xdr:rowOff>
    </xdr:from>
    <xdr:to>
      <xdr:col>16</xdr:col>
      <xdr:colOff>239400</xdr:colOff>
      <xdr:row>59</xdr:row>
      <xdr:rowOff>64500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27B8F18-8585-4D46-B3A0-5FA1E80544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0</xdr:colOff>
      <xdr:row>49</xdr:row>
      <xdr:rowOff>0</xdr:rowOff>
    </xdr:from>
    <xdr:to>
      <xdr:col>7</xdr:col>
      <xdr:colOff>639450</xdr:colOff>
      <xdr:row>58</xdr:row>
      <xdr:rowOff>94050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A483A9D-11F9-4D21-87A0-87A8103E21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0.84444</cdr:x>
      <cdr:y>0.90741</cdr:y>
    </cdr:from>
    <cdr:to>
      <cdr:x>0.99236</cdr:x>
      <cdr:y>0.98727</cdr:y>
    </cdr:to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D684D630-4C2A-24F2-88F8-D91FF5E7874C}"/>
            </a:ext>
          </a:extLst>
        </cdr:cNvPr>
        <cdr:cNvSpPr txBox="1"/>
      </cdr:nvSpPr>
      <cdr:spPr>
        <a:xfrm xmlns:a="http://schemas.openxmlformats.org/drawingml/2006/main">
          <a:off x="3860780" y="2489198"/>
          <a:ext cx="676290" cy="21907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0.85208</cdr:x>
      <cdr:y>0.15334</cdr:y>
    </cdr:from>
    <cdr:to>
      <cdr:x>1</cdr:x>
      <cdr:y>0.2332</cdr:y>
    </cdr:to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D684D630-4C2A-24F2-88F8-D91FF5E7874C}"/>
            </a:ext>
          </a:extLst>
        </cdr:cNvPr>
        <cdr:cNvSpPr txBox="1"/>
      </cdr:nvSpPr>
      <cdr:spPr>
        <a:xfrm xmlns:a="http://schemas.openxmlformats.org/drawingml/2006/main">
          <a:off x="3680986" y="331223"/>
          <a:ext cx="639014" cy="17249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0.85208</cdr:x>
      <cdr:y>0.13036</cdr:y>
    </cdr:from>
    <cdr:to>
      <cdr:x>1</cdr:x>
      <cdr:y>0.21022</cdr:y>
    </cdr:to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D684D630-4C2A-24F2-88F8-D91FF5E7874C}"/>
            </a:ext>
          </a:extLst>
        </cdr:cNvPr>
        <cdr:cNvSpPr txBox="1"/>
      </cdr:nvSpPr>
      <cdr:spPr>
        <a:xfrm xmlns:a="http://schemas.openxmlformats.org/drawingml/2006/main">
          <a:off x="3680986" y="281573"/>
          <a:ext cx="639014" cy="172498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0.84444</cdr:x>
      <cdr:y>0.91435</cdr:y>
    </cdr:from>
    <cdr:to>
      <cdr:x>0.99236</cdr:x>
      <cdr:y>0.99421</cdr:y>
    </cdr:to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D684D630-4C2A-24F2-88F8-D91FF5E7874C}"/>
            </a:ext>
          </a:extLst>
        </cdr:cNvPr>
        <cdr:cNvSpPr txBox="1"/>
      </cdr:nvSpPr>
      <cdr:spPr>
        <a:xfrm xmlns:a="http://schemas.openxmlformats.org/drawingml/2006/main">
          <a:off x="3860780" y="2508248"/>
          <a:ext cx="676290" cy="21907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0.85208</cdr:x>
      <cdr:y>0.90741</cdr:y>
    </cdr:from>
    <cdr:to>
      <cdr:x>1</cdr:x>
      <cdr:y>0.98727</cdr:y>
    </cdr:to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D684D630-4C2A-24F2-88F8-D91FF5E7874C}"/>
            </a:ext>
          </a:extLst>
        </cdr:cNvPr>
        <cdr:cNvSpPr txBox="1"/>
      </cdr:nvSpPr>
      <cdr:spPr>
        <a:xfrm xmlns:a="http://schemas.openxmlformats.org/drawingml/2006/main">
          <a:off x="3895710" y="2489198"/>
          <a:ext cx="676290" cy="21907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0.85019</cdr:x>
      <cdr:y>0.17099</cdr:y>
    </cdr:from>
    <cdr:to>
      <cdr:x>0.99811</cdr:x>
      <cdr:y>0.25085</cdr:y>
    </cdr:to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D684D630-4C2A-24F2-88F8-D91FF5E7874C}"/>
            </a:ext>
          </a:extLst>
        </cdr:cNvPr>
        <cdr:cNvSpPr txBox="1"/>
      </cdr:nvSpPr>
      <cdr:spPr>
        <a:xfrm xmlns:a="http://schemas.openxmlformats.org/drawingml/2006/main">
          <a:off x="4284958" y="369331"/>
          <a:ext cx="745517" cy="17249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585787</xdr:colOff>
      <xdr:row>4</xdr:row>
      <xdr:rowOff>28575</xdr:rowOff>
    </xdr:from>
    <xdr:to>
      <xdr:col>11</xdr:col>
      <xdr:colOff>357187</xdr:colOff>
      <xdr:row>17</xdr:row>
      <xdr:rowOff>47625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F66663B-76AB-6081-4935-38A44116E4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68</xdr:row>
      <xdr:rowOff>0</xdr:rowOff>
    </xdr:from>
    <xdr:to>
      <xdr:col>9</xdr:col>
      <xdr:colOff>243300</xdr:colOff>
      <xdr:row>81</xdr:row>
      <xdr:rowOff>155850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918D7F2C-9884-4758-A724-9FA513CEDC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400050</xdr:colOff>
      <xdr:row>69</xdr:row>
      <xdr:rowOff>200025</xdr:rowOff>
    </xdr:from>
    <xdr:to>
      <xdr:col>9</xdr:col>
      <xdr:colOff>390525</xdr:colOff>
      <xdr:row>71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262453E-A2DC-4AC4-98BA-B2479CF15F47}"/>
            </a:ext>
          </a:extLst>
        </xdr:cNvPr>
        <xdr:cNvSpPr txBox="1"/>
      </xdr:nvSpPr>
      <xdr:spPr>
        <a:xfrm>
          <a:off x="7315200" y="14316075"/>
          <a:ext cx="676275" cy="2190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461962</xdr:colOff>
      <xdr:row>3</xdr:row>
      <xdr:rowOff>0</xdr:rowOff>
    </xdr:from>
    <xdr:to>
      <xdr:col>14</xdr:col>
      <xdr:colOff>667162</xdr:colOff>
      <xdr:row>16</xdr:row>
      <xdr:rowOff>155850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E226D4F-9014-C24B-0666-B022FD64D4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390525</xdr:colOff>
      <xdr:row>25</xdr:row>
      <xdr:rowOff>133350</xdr:rowOff>
    </xdr:from>
    <xdr:to>
      <xdr:col>15</xdr:col>
      <xdr:colOff>595725</xdr:colOff>
      <xdr:row>39</xdr:row>
      <xdr:rowOff>79650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3B35CE7-8F20-490D-A1B0-B2952A33E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0.83194</cdr:x>
      <cdr:y>0.15741</cdr:y>
    </cdr:from>
    <cdr:to>
      <cdr:x>0.97986</cdr:x>
      <cdr:y>0.23727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E3310D03-D7AE-028E-0935-C113116D779E}"/>
            </a:ext>
          </a:extLst>
        </cdr:cNvPr>
        <cdr:cNvSpPr txBox="1"/>
      </cdr:nvSpPr>
      <cdr:spPr>
        <a:xfrm xmlns:a="http://schemas.openxmlformats.org/drawingml/2006/main">
          <a:off x="3803630" y="431804"/>
          <a:ext cx="676290" cy="21907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0.82569</cdr:x>
      <cdr:y>0.14207</cdr:y>
    </cdr:from>
    <cdr:to>
      <cdr:x>0.97361</cdr:x>
      <cdr:y>0.21748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A2F86E3A-A76C-8436-7C62-4D8E4D32CADB}"/>
            </a:ext>
          </a:extLst>
        </cdr:cNvPr>
        <cdr:cNvSpPr txBox="1"/>
      </cdr:nvSpPr>
      <cdr:spPr>
        <a:xfrm xmlns:a="http://schemas.openxmlformats.org/drawingml/2006/main">
          <a:off x="3775070" y="412743"/>
          <a:ext cx="676290" cy="2190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514350</xdr:colOff>
      <xdr:row>1</xdr:row>
      <xdr:rowOff>142875</xdr:rowOff>
    </xdr:from>
    <xdr:to>
      <xdr:col>15</xdr:col>
      <xdr:colOff>33750</xdr:colOff>
      <xdr:row>15</xdr:row>
      <xdr:rowOff>51075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07E3E42-6D32-49BB-A94D-BF4E56C741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533400</xdr:colOff>
      <xdr:row>19</xdr:row>
      <xdr:rowOff>142875</xdr:rowOff>
    </xdr:from>
    <xdr:to>
      <xdr:col>12</xdr:col>
      <xdr:colOff>304800</xdr:colOff>
      <xdr:row>31</xdr:row>
      <xdr:rowOff>190500</xdr:rowOff>
    </xdr:to>
    <xdr:grpSp>
      <xdr:nvGrpSpPr>
        <xdr:cNvPr id="6" name="그룹 5">
          <a:extLst>
            <a:ext uri="{FF2B5EF4-FFF2-40B4-BE49-F238E27FC236}">
              <a16:creationId xmlns:a16="http://schemas.microsoft.com/office/drawing/2014/main" id="{37735C93-FC30-02FA-6646-8688A876AA5B}"/>
            </a:ext>
          </a:extLst>
        </xdr:cNvPr>
        <xdr:cNvGrpSpPr/>
      </xdr:nvGrpSpPr>
      <xdr:grpSpPr>
        <a:xfrm>
          <a:off x="3962400" y="4162425"/>
          <a:ext cx="4572000" cy="2790825"/>
          <a:chOff x="5486400" y="4019550"/>
          <a:chExt cx="4572000" cy="2905125"/>
        </a:xfrm>
      </xdr:grpSpPr>
      <xdr:graphicFrame macro="">
        <xdr:nvGraphicFramePr>
          <xdr:cNvPr id="4" name="차트 3">
            <a:extLst>
              <a:ext uri="{FF2B5EF4-FFF2-40B4-BE49-F238E27FC236}">
                <a16:creationId xmlns:a16="http://schemas.microsoft.com/office/drawing/2014/main" id="{B722F61A-EBAF-49FB-9F9C-8B7ABAC50247}"/>
              </a:ext>
            </a:extLst>
          </xdr:cNvPr>
          <xdr:cNvGraphicFramePr>
            <a:graphicFrameLocks/>
          </xdr:cNvGraphicFramePr>
        </xdr:nvGraphicFramePr>
        <xdr:xfrm>
          <a:off x="5486400" y="4019550"/>
          <a:ext cx="4572000" cy="29051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TextBox 4">
            <a:extLst>
              <a:ext uri="{FF2B5EF4-FFF2-40B4-BE49-F238E27FC236}">
                <a16:creationId xmlns:a16="http://schemas.microsoft.com/office/drawing/2014/main" id="{A2F86E3A-A76C-8436-7C62-4D8E4D32CADB}"/>
              </a:ext>
            </a:extLst>
          </xdr:cNvPr>
          <xdr:cNvSpPr txBox="1"/>
        </xdr:nvSpPr>
        <xdr:spPr>
          <a:xfrm>
            <a:off x="9220200" y="4467225"/>
            <a:ext cx="676275" cy="2190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o-KR" altLang="en-US" sz="900">
                <a:latin typeface="a고딕12" panose="02020600000000000000" pitchFamily="18" charset="-127"/>
                <a:ea typeface="a고딕12" panose="02020600000000000000" pitchFamily="18" charset="-127"/>
              </a:rPr>
              <a:t>단위 </a:t>
            </a:r>
            <a:r>
              <a:rPr lang="en-US" altLang="ko-KR" sz="900">
                <a:latin typeface="a고딕12" panose="02020600000000000000" pitchFamily="18" charset="-127"/>
                <a:ea typeface="a고딕12" panose="02020600000000000000" pitchFamily="18" charset="-127"/>
              </a:rPr>
              <a:t>: %</a:t>
            </a:r>
            <a:endParaRPr lang="ko-KR" altLang="en-US" sz="900">
              <a:latin typeface="a고딕12" panose="02020600000000000000" pitchFamily="18" charset="-127"/>
              <a:ea typeface="a고딕12" panose="02020600000000000000" pitchFamily="18" charset="-127"/>
            </a:endParaRPr>
          </a:p>
        </xdr:txBody>
      </xdr:sp>
    </xdr:grpSp>
    <xdr:clientData/>
  </xdr:twoCellAnchor>
  <xdr:twoCellAnchor>
    <xdr:from>
      <xdr:col>6</xdr:col>
      <xdr:colOff>76200</xdr:colOff>
      <xdr:row>34</xdr:row>
      <xdr:rowOff>180975</xdr:rowOff>
    </xdr:from>
    <xdr:to>
      <xdr:col>12</xdr:col>
      <xdr:colOff>533400</xdr:colOff>
      <xdr:row>48</xdr:row>
      <xdr:rowOff>152400</xdr:rowOff>
    </xdr:to>
    <xdr:grpSp>
      <xdr:nvGrpSpPr>
        <xdr:cNvPr id="7" name="그룹 6">
          <a:extLst>
            <a:ext uri="{FF2B5EF4-FFF2-40B4-BE49-F238E27FC236}">
              <a16:creationId xmlns:a16="http://schemas.microsoft.com/office/drawing/2014/main" id="{7E6012E7-D05B-4DE4-9747-03B336B48C22}"/>
            </a:ext>
          </a:extLst>
        </xdr:cNvPr>
        <xdr:cNvGrpSpPr/>
      </xdr:nvGrpSpPr>
      <xdr:grpSpPr>
        <a:xfrm>
          <a:off x="4191000" y="7581900"/>
          <a:ext cx="4572000" cy="2905125"/>
          <a:chOff x="5486400" y="4019550"/>
          <a:chExt cx="4572000" cy="2905125"/>
        </a:xfrm>
      </xdr:grpSpPr>
      <xdr:graphicFrame macro="">
        <xdr:nvGraphicFramePr>
          <xdr:cNvPr id="8" name="차트 7">
            <a:extLst>
              <a:ext uri="{FF2B5EF4-FFF2-40B4-BE49-F238E27FC236}">
                <a16:creationId xmlns:a16="http://schemas.microsoft.com/office/drawing/2014/main" id="{E5739EB1-5FDD-1878-6F6F-CB057754C6E3}"/>
              </a:ext>
            </a:extLst>
          </xdr:cNvPr>
          <xdr:cNvGraphicFramePr>
            <a:graphicFrameLocks/>
          </xdr:cNvGraphicFramePr>
        </xdr:nvGraphicFramePr>
        <xdr:xfrm>
          <a:off x="5486400" y="4019550"/>
          <a:ext cx="4572000" cy="290512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D684D630-4C2A-24F2-88F8-D91FF5E7874C}"/>
              </a:ext>
            </a:extLst>
          </xdr:cNvPr>
          <xdr:cNvSpPr txBox="1"/>
        </xdr:nvSpPr>
        <xdr:spPr>
          <a:xfrm>
            <a:off x="9220200" y="4467225"/>
            <a:ext cx="676275" cy="21907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ko-KR" altLang="en-US" sz="900">
                <a:latin typeface="a고딕12" panose="02020600000000000000" pitchFamily="18" charset="-127"/>
                <a:ea typeface="a고딕12" panose="02020600000000000000" pitchFamily="18" charset="-127"/>
              </a:rPr>
              <a:t>단위 </a:t>
            </a:r>
            <a:r>
              <a:rPr lang="en-US" altLang="ko-KR" sz="900">
                <a:latin typeface="a고딕12" panose="02020600000000000000" pitchFamily="18" charset="-127"/>
                <a:ea typeface="a고딕12" panose="02020600000000000000" pitchFamily="18" charset="-127"/>
              </a:rPr>
              <a:t>: %</a:t>
            </a:r>
            <a:endParaRPr lang="ko-KR" altLang="en-US" sz="900">
              <a:latin typeface="a고딕12" panose="02020600000000000000" pitchFamily="18" charset="-127"/>
              <a:ea typeface="a고딕12" panose="02020600000000000000" pitchFamily="18" charset="-127"/>
            </a:endParaRPr>
          </a:p>
        </xdr:txBody>
      </xdr:sp>
    </xdr:grpSp>
    <xdr:clientData/>
  </xdr:twoCellAnchor>
</xdr:wsDr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0.81319</cdr:x>
      <cdr:y>0.17814</cdr:y>
    </cdr:from>
    <cdr:to>
      <cdr:x>0.96111</cdr:x>
      <cdr:y>0.25355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A2F86E3A-A76C-8436-7C62-4D8E4D32CADB}"/>
            </a:ext>
          </a:extLst>
        </cdr:cNvPr>
        <cdr:cNvSpPr txBox="1"/>
      </cdr:nvSpPr>
      <cdr:spPr>
        <a:xfrm xmlns:a="http://schemas.openxmlformats.org/drawingml/2006/main">
          <a:off x="3717925" y="517525"/>
          <a:ext cx="676275" cy="21907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</a:t>
          </a:r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점</a:t>
          </a:r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828675</xdr:colOff>
      <xdr:row>42</xdr:row>
      <xdr:rowOff>190500</xdr:rowOff>
    </xdr:from>
    <xdr:to>
      <xdr:col>7</xdr:col>
      <xdr:colOff>334650</xdr:colOff>
      <xdr:row>60</xdr:row>
      <xdr:rowOff>18600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428CA31-64F3-44A4-8AC9-E59696F014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0.83194</cdr:x>
      <cdr:y>0.15741</cdr:y>
    </cdr:from>
    <cdr:to>
      <cdr:x>0.97986</cdr:x>
      <cdr:y>0.23727</cdr:y>
    </cdr:to>
    <cdr:sp macro="" textlink="">
      <cdr:nvSpPr>
        <cdr:cNvPr id="2" name="TextBox 4">
          <a:extLst xmlns:a="http://schemas.openxmlformats.org/drawingml/2006/main">
            <a:ext uri="{FF2B5EF4-FFF2-40B4-BE49-F238E27FC236}">
              <a16:creationId xmlns:a16="http://schemas.microsoft.com/office/drawing/2014/main" id="{E3310D03-D7AE-028E-0935-C113116D779E}"/>
            </a:ext>
          </a:extLst>
        </cdr:cNvPr>
        <cdr:cNvSpPr txBox="1"/>
      </cdr:nvSpPr>
      <cdr:spPr>
        <a:xfrm xmlns:a="http://schemas.openxmlformats.org/drawingml/2006/main">
          <a:off x="3803630" y="431804"/>
          <a:ext cx="676290" cy="219072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ko-KR" altLang="en-US" sz="900">
              <a:latin typeface="a고딕12" panose="02020600000000000000" pitchFamily="18" charset="-127"/>
              <a:ea typeface="a고딕12" panose="02020600000000000000" pitchFamily="18" charset="-127"/>
            </a:rPr>
            <a:t>단위 </a:t>
          </a:r>
          <a:r>
            <a:rPr lang="en-US" altLang="ko-KR" sz="900">
              <a:latin typeface="a고딕12" panose="02020600000000000000" pitchFamily="18" charset="-127"/>
              <a:ea typeface="a고딕12" panose="02020600000000000000" pitchFamily="18" charset="-127"/>
            </a:rPr>
            <a:t>: %</a:t>
          </a:r>
          <a:endParaRPr lang="ko-KR" altLang="en-US" sz="900">
            <a:latin typeface="a고딕12" panose="02020600000000000000" pitchFamily="18" charset="-127"/>
            <a:ea typeface="a고딕12" panose="02020600000000000000" pitchFamily="18" charset="-127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ADBF3-DE7F-45E3-9904-7821B79A86EF}">
  <dimension ref="A1:R130"/>
  <sheetViews>
    <sheetView topLeftCell="C147" workbookViewId="0">
      <selection activeCell="F170" sqref="F170"/>
    </sheetView>
  </sheetViews>
  <sheetFormatPr defaultRowHeight="16.5"/>
  <sheetData>
    <row r="1" spans="1:11">
      <c r="A1" s="176" t="s">
        <v>0</v>
      </c>
      <c r="B1" s="176" t="s">
        <v>1</v>
      </c>
      <c r="C1" s="176" t="s">
        <v>2</v>
      </c>
      <c r="D1" s="176" t="s">
        <v>3</v>
      </c>
      <c r="E1" s="6"/>
      <c r="F1" s="171" t="s">
        <v>4</v>
      </c>
      <c r="G1" s="172"/>
      <c r="H1" s="172"/>
      <c r="I1" s="172"/>
      <c r="J1" s="172"/>
      <c r="K1" s="173"/>
    </row>
    <row r="2" spans="1:11">
      <c r="A2" s="177"/>
      <c r="B2" s="177"/>
      <c r="C2" s="177"/>
      <c r="D2" s="177"/>
      <c r="E2" s="3"/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25.5">
      <c r="A3" s="176" t="s">
        <v>11</v>
      </c>
      <c r="B3" s="2" t="s">
        <v>12</v>
      </c>
      <c r="C3" s="1" t="s">
        <v>13</v>
      </c>
      <c r="D3" s="1">
        <v>-2775</v>
      </c>
      <c r="E3" s="2" t="s">
        <v>21</v>
      </c>
      <c r="F3" s="7">
        <v>49.3</v>
      </c>
      <c r="G3" s="7">
        <v>25.8</v>
      </c>
      <c r="H3" s="7">
        <v>9.1</v>
      </c>
      <c r="I3" s="7">
        <v>2.9</v>
      </c>
      <c r="J3" s="7">
        <v>8.5</v>
      </c>
      <c r="K3" s="7">
        <v>4.4000000000000004</v>
      </c>
    </row>
    <row r="4" spans="1:11" ht="25.5">
      <c r="A4" s="177"/>
      <c r="B4" s="2" t="s">
        <v>14</v>
      </c>
      <c r="C4" s="2" t="s">
        <v>15</v>
      </c>
      <c r="D4" s="2">
        <v>-1000</v>
      </c>
      <c r="E4" s="2" t="s">
        <v>22</v>
      </c>
      <c r="F4" s="2">
        <v>49</v>
      </c>
      <c r="G4" s="2">
        <v>27</v>
      </c>
      <c r="H4" s="2">
        <v>7</v>
      </c>
      <c r="I4" s="2">
        <v>1</v>
      </c>
      <c r="J4" s="2">
        <v>10</v>
      </c>
      <c r="K4" s="2">
        <v>6</v>
      </c>
    </row>
    <row r="17" spans="1:8">
      <c r="F17" s="4" t="s">
        <v>19</v>
      </c>
      <c r="G17" s="4" t="s">
        <v>20</v>
      </c>
      <c r="H17" s="4" t="s">
        <v>10</v>
      </c>
    </row>
    <row r="18" spans="1:8" ht="25.5">
      <c r="A18" s="174" t="s">
        <v>16</v>
      </c>
      <c r="B18" s="4" t="s">
        <v>12</v>
      </c>
      <c r="C18" s="4" t="s">
        <v>17</v>
      </c>
      <c r="D18" s="5">
        <v>-2020</v>
      </c>
      <c r="E18" s="2" t="s">
        <v>23</v>
      </c>
      <c r="F18" s="8">
        <v>62.7</v>
      </c>
      <c r="G18" s="8">
        <v>31.7</v>
      </c>
      <c r="H18" s="8">
        <v>5.6</v>
      </c>
    </row>
    <row r="19" spans="1:8" ht="25.5">
      <c r="A19" s="175"/>
      <c r="B19" s="4" t="s">
        <v>14</v>
      </c>
      <c r="C19" s="4" t="s">
        <v>18</v>
      </c>
      <c r="D19" s="4">
        <v>-1003</v>
      </c>
      <c r="E19" s="2" t="s">
        <v>24</v>
      </c>
      <c r="F19" s="4">
        <v>62</v>
      </c>
      <c r="G19" s="4">
        <v>28</v>
      </c>
      <c r="H19" s="4">
        <v>10</v>
      </c>
    </row>
    <row r="36" spans="3:11">
      <c r="C36" s="169"/>
      <c r="D36" s="165" t="s">
        <v>33</v>
      </c>
      <c r="E36" s="165" t="s">
        <v>27</v>
      </c>
      <c r="F36" s="165" t="s">
        <v>28</v>
      </c>
      <c r="G36" s="165" t="s">
        <v>29</v>
      </c>
      <c r="H36" s="165" t="s">
        <v>30</v>
      </c>
      <c r="I36" s="165" t="s">
        <v>31</v>
      </c>
      <c r="J36" s="165" t="s">
        <v>9</v>
      </c>
      <c r="K36" s="165" t="s">
        <v>10</v>
      </c>
    </row>
    <row r="37" spans="3:11">
      <c r="C37" s="170"/>
      <c r="D37" s="166"/>
      <c r="E37" s="166"/>
      <c r="F37" s="166"/>
      <c r="G37" s="166"/>
      <c r="H37" s="166"/>
      <c r="I37" s="166"/>
      <c r="J37" s="166"/>
      <c r="K37" s="166"/>
    </row>
    <row r="38" spans="3:11" ht="25.5">
      <c r="C38" s="2" t="s">
        <v>21</v>
      </c>
      <c r="D38" s="7">
        <v>44.1</v>
      </c>
      <c r="E38" s="7">
        <v>31.7</v>
      </c>
      <c r="F38" s="7">
        <v>5.4</v>
      </c>
      <c r="G38" s="7">
        <v>1</v>
      </c>
      <c r="H38" s="7">
        <v>6</v>
      </c>
      <c r="I38" s="7">
        <v>3</v>
      </c>
      <c r="J38" s="7">
        <v>6.5</v>
      </c>
      <c r="K38" s="7">
        <v>2.2999999999999998</v>
      </c>
    </row>
    <row r="39" spans="3:11" ht="25.5">
      <c r="C39" s="2" t="s">
        <v>22</v>
      </c>
      <c r="D39" s="124">
        <v>42</v>
      </c>
      <c r="E39" s="124">
        <v>28</v>
      </c>
      <c r="F39" s="124">
        <v>5</v>
      </c>
      <c r="G39" s="124">
        <v>1</v>
      </c>
      <c r="H39" s="124">
        <v>4</v>
      </c>
      <c r="I39" s="124">
        <v>1</v>
      </c>
      <c r="J39" s="124">
        <v>18</v>
      </c>
      <c r="K39" s="124">
        <v>1</v>
      </c>
    </row>
    <row r="55" spans="3:9">
      <c r="D55" s="9"/>
      <c r="E55" s="9"/>
      <c r="F55" s="10" t="s">
        <v>34</v>
      </c>
      <c r="G55" s="10" t="s">
        <v>35</v>
      </c>
      <c r="H55" s="10" t="s">
        <v>36</v>
      </c>
      <c r="I55" s="10" t="s">
        <v>37</v>
      </c>
    </row>
    <row r="56" spans="3:9">
      <c r="C56" s="9">
        <v>2025.5</v>
      </c>
      <c r="D56" s="9"/>
      <c r="E56" s="9" t="s">
        <v>38</v>
      </c>
      <c r="F56" s="11">
        <v>11.6</v>
      </c>
      <c r="G56" s="11">
        <v>61.8</v>
      </c>
      <c r="H56" s="11">
        <v>26.6</v>
      </c>
      <c r="I56" s="9">
        <v>5.5</v>
      </c>
    </row>
    <row r="57" spans="3:9">
      <c r="C57" s="9">
        <v>2025.9</v>
      </c>
      <c r="D57" s="9"/>
      <c r="E57" s="9" t="s">
        <v>39</v>
      </c>
      <c r="F57" s="11">
        <v>13</v>
      </c>
      <c r="G57" s="11">
        <v>64.5</v>
      </c>
      <c r="H57" s="11">
        <v>22.5</v>
      </c>
      <c r="I57" s="9">
        <v>5.3</v>
      </c>
    </row>
    <row r="58" spans="3:9">
      <c r="C58" s="9">
        <v>2025.12</v>
      </c>
      <c r="D58" s="9"/>
      <c r="E58" s="9" t="s">
        <v>40</v>
      </c>
      <c r="F58" s="11">
        <v>13.5</v>
      </c>
      <c r="G58" s="11">
        <v>65.900000000000006</v>
      </c>
      <c r="H58" s="11">
        <v>20.7</v>
      </c>
      <c r="I58" s="9">
        <v>5.2</v>
      </c>
    </row>
    <row r="73" spans="3:6">
      <c r="D73" s="10" t="s">
        <v>34</v>
      </c>
      <c r="E73" s="10" t="s">
        <v>35</v>
      </c>
      <c r="F73" s="10" t="s">
        <v>36</v>
      </c>
    </row>
    <row r="74" spans="3:6">
      <c r="C74" t="s">
        <v>41</v>
      </c>
      <c r="D74" s="9">
        <v>47.8</v>
      </c>
      <c r="E74" s="9">
        <v>44.9</v>
      </c>
      <c r="F74" s="9">
        <v>7.3</v>
      </c>
    </row>
    <row r="75" spans="3:6">
      <c r="C75" t="s">
        <v>42</v>
      </c>
      <c r="D75" s="9">
        <v>13.5</v>
      </c>
      <c r="E75" s="9">
        <v>65.900000000000006</v>
      </c>
      <c r="F75" s="9">
        <v>20.7</v>
      </c>
    </row>
    <row r="96" spans="4:14" ht="16.5" customHeight="1">
      <c r="D96" s="167"/>
      <c r="E96" s="167"/>
      <c r="F96" s="169"/>
      <c r="G96" s="165" t="s">
        <v>33</v>
      </c>
      <c r="H96" s="165" t="s">
        <v>27</v>
      </c>
      <c r="I96" s="165" t="s">
        <v>28</v>
      </c>
      <c r="J96" s="165" t="s">
        <v>29</v>
      </c>
      <c r="K96" s="165" t="s">
        <v>30</v>
      </c>
      <c r="L96" s="165" t="s">
        <v>31</v>
      </c>
      <c r="M96" s="165" t="s">
        <v>9</v>
      </c>
      <c r="N96" s="165" t="s">
        <v>10</v>
      </c>
    </row>
    <row r="97" spans="4:14" ht="16.5" customHeight="1">
      <c r="D97" s="168"/>
      <c r="E97" s="168"/>
      <c r="F97" s="170"/>
      <c r="G97" s="166"/>
      <c r="H97" s="166"/>
      <c r="I97" s="166"/>
      <c r="J97" s="166"/>
      <c r="K97" s="166"/>
      <c r="L97" s="166"/>
      <c r="M97" s="166"/>
      <c r="N97" s="166"/>
    </row>
    <row r="98" spans="4:14">
      <c r="D98" s="12" t="s">
        <v>43</v>
      </c>
      <c r="E98" s="12">
        <v>2025.5</v>
      </c>
      <c r="F98" s="12" t="s">
        <v>43</v>
      </c>
      <c r="G98" s="14">
        <v>10.5</v>
      </c>
      <c r="H98" s="14">
        <v>29.7</v>
      </c>
      <c r="I98" s="14">
        <v>4.9000000000000004</v>
      </c>
      <c r="J98" s="14">
        <v>1.5</v>
      </c>
      <c r="K98" s="14">
        <v>14.4</v>
      </c>
      <c r="L98" s="14">
        <v>2.2000000000000002</v>
      </c>
      <c r="M98" s="14">
        <v>25.2</v>
      </c>
      <c r="N98" s="14">
        <v>11.7</v>
      </c>
    </row>
    <row r="99" spans="4:14">
      <c r="D99" s="12" t="s">
        <v>44</v>
      </c>
      <c r="E99" s="12">
        <v>2025.9</v>
      </c>
      <c r="F99" s="12" t="s">
        <v>44</v>
      </c>
      <c r="G99" s="15">
        <v>29.9</v>
      </c>
      <c r="H99" s="15">
        <v>27.9</v>
      </c>
      <c r="I99" s="15">
        <v>4.0999999999999996</v>
      </c>
      <c r="J99" s="15">
        <v>2.1</v>
      </c>
      <c r="K99" s="15">
        <v>12.8</v>
      </c>
      <c r="L99" s="15">
        <v>1.4</v>
      </c>
      <c r="M99" s="15">
        <v>15.4</v>
      </c>
      <c r="N99" s="15">
        <v>6.4</v>
      </c>
    </row>
    <row r="100" spans="4:14">
      <c r="D100" s="12" t="s">
        <v>45</v>
      </c>
      <c r="E100" s="12">
        <v>2025.12</v>
      </c>
      <c r="F100" s="12" t="s">
        <v>45</v>
      </c>
      <c r="G100" s="15">
        <v>34.1</v>
      </c>
      <c r="H100" s="15">
        <v>24.8</v>
      </c>
      <c r="I100" s="15">
        <v>4</v>
      </c>
      <c r="J100" s="15">
        <v>1.3</v>
      </c>
      <c r="K100" s="15">
        <v>13.6</v>
      </c>
      <c r="L100" s="15">
        <v>2</v>
      </c>
      <c r="M100" s="15">
        <v>15.5</v>
      </c>
      <c r="N100" s="15">
        <v>4.8</v>
      </c>
    </row>
    <row r="122" spans="4:14" ht="16.5" customHeight="1">
      <c r="D122" s="167"/>
      <c r="E122" s="167"/>
      <c r="F122" s="169"/>
      <c r="G122" s="165" t="s">
        <v>33</v>
      </c>
      <c r="H122" s="165" t="s">
        <v>27</v>
      </c>
      <c r="I122" s="165" t="s">
        <v>28</v>
      </c>
      <c r="J122" s="165" t="s">
        <v>29</v>
      </c>
      <c r="K122" s="165" t="s">
        <v>30</v>
      </c>
      <c r="L122" s="165" t="s">
        <v>31</v>
      </c>
      <c r="M122" s="165" t="s">
        <v>9</v>
      </c>
      <c r="N122" s="165" t="s">
        <v>10</v>
      </c>
    </row>
    <row r="123" spans="4:14" ht="16.5" customHeight="1">
      <c r="D123" s="168"/>
      <c r="E123" s="168"/>
      <c r="F123" s="170"/>
      <c r="G123" s="166"/>
      <c r="H123" s="166"/>
      <c r="I123" s="166"/>
      <c r="J123" s="166"/>
      <c r="K123" s="166"/>
      <c r="L123" s="166"/>
      <c r="M123" s="166"/>
      <c r="N123" s="166"/>
    </row>
    <row r="124" spans="4:14">
      <c r="D124" s="12"/>
      <c r="E124" s="12"/>
      <c r="F124" t="s">
        <v>41</v>
      </c>
      <c r="G124" s="13">
        <v>85.5</v>
      </c>
      <c r="H124" s="13">
        <v>1.1000000000000001</v>
      </c>
      <c r="I124" s="13">
        <v>7.8</v>
      </c>
      <c r="J124" s="13">
        <v>0.8</v>
      </c>
      <c r="K124" s="13">
        <v>0.4</v>
      </c>
      <c r="L124" s="13">
        <v>1.7</v>
      </c>
      <c r="M124" s="13">
        <v>2</v>
      </c>
      <c r="N124" s="13">
        <v>0.8</v>
      </c>
    </row>
    <row r="125" spans="4:14">
      <c r="F125" t="s">
        <v>42</v>
      </c>
      <c r="G125" s="13">
        <v>34.1</v>
      </c>
      <c r="H125" s="13">
        <v>24.8</v>
      </c>
      <c r="I125" s="13">
        <v>4</v>
      </c>
      <c r="J125" s="13">
        <v>1.3</v>
      </c>
      <c r="K125" s="13">
        <v>13.6</v>
      </c>
      <c r="L125" s="13">
        <v>2</v>
      </c>
      <c r="M125" s="13">
        <v>15.5</v>
      </c>
      <c r="N125" s="13">
        <v>4.8</v>
      </c>
    </row>
    <row r="130" spans="18:18">
      <c r="R130">
        <v>1</v>
      </c>
    </row>
  </sheetData>
  <mergeCells count="38">
    <mergeCell ref="F1:K1"/>
    <mergeCell ref="A18:A19"/>
    <mergeCell ref="E36:E37"/>
    <mergeCell ref="F36:F37"/>
    <mergeCell ref="G36:G37"/>
    <mergeCell ref="H36:H37"/>
    <mergeCell ref="K36:K37"/>
    <mergeCell ref="D36:D37"/>
    <mergeCell ref="I36:I37"/>
    <mergeCell ref="C36:C37"/>
    <mergeCell ref="A3:A4"/>
    <mergeCell ref="A1:A2"/>
    <mergeCell ref="B1:B2"/>
    <mergeCell ref="C1:C2"/>
    <mergeCell ref="D1:D2"/>
    <mergeCell ref="J36:J37"/>
    <mergeCell ref="D122:D123"/>
    <mergeCell ref="E122:E123"/>
    <mergeCell ref="F122:F123"/>
    <mergeCell ref="H122:H123"/>
    <mergeCell ref="I122:I123"/>
    <mergeCell ref="J122:J123"/>
    <mergeCell ref="D96:D97"/>
    <mergeCell ref="E96:E97"/>
    <mergeCell ref="F96:F97"/>
    <mergeCell ref="H96:H97"/>
    <mergeCell ref="I96:I97"/>
    <mergeCell ref="K96:K97"/>
    <mergeCell ref="M96:M97"/>
    <mergeCell ref="N96:N97"/>
    <mergeCell ref="G96:G97"/>
    <mergeCell ref="L96:L97"/>
    <mergeCell ref="J96:J97"/>
    <mergeCell ref="K122:K123"/>
    <mergeCell ref="M122:M123"/>
    <mergeCell ref="N122:N123"/>
    <mergeCell ref="G122:G123"/>
    <mergeCell ref="L122:L123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B212-1F6A-49C0-82EE-B993EE8C560F}">
  <dimension ref="A1:L9"/>
  <sheetViews>
    <sheetView workbookViewId="0">
      <selection sqref="A1:L9"/>
    </sheetView>
  </sheetViews>
  <sheetFormatPr defaultRowHeight="16.5"/>
  <sheetData>
    <row r="1" spans="1:12">
      <c r="A1" s="182" t="s">
        <v>0</v>
      </c>
      <c r="B1" s="182" t="s">
        <v>1</v>
      </c>
      <c r="C1" s="182" t="s">
        <v>2</v>
      </c>
      <c r="D1" s="182" t="s">
        <v>3</v>
      </c>
      <c r="E1" s="185" t="s">
        <v>72</v>
      </c>
      <c r="F1" s="186"/>
      <c r="G1" s="186"/>
      <c r="H1" s="186"/>
      <c r="I1" s="186"/>
      <c r="J1" s="186"/>
      <c r="K1" s="186"/>
      <c r="L1" s="187"/>
    </row>
    <row r="2" spans="1:12">
      <c r="A2" s="183"/>
      <c r="B2" s="183"/>
      <c r="C2" s="183"/>
      <c r="D2" s="183"/>
      <c r="E2" s="32" t="s">
        <v>25</v>
      </c>
      <c r="F2" s="178" t="s">
        <v>27</v>
      </c>
      <c r="G2" s="178" t="s">
        <v>28</v>
      </c>
      <c r="H2" s="178" t="s">
        <v>29</v>
      </c>
      <c r="I2" s="178" t="s">
        <v>30</v>
      </c>
      <c r="J2" s="32" t="s">
        <v>31</v>
      </c>
      <c r="K2" s="178" t="s">
        <v>9</v>
      </c>
      <c r="L2" s="178" t="s">
        <v>10</v>
      </c>
    </row>
    <row r="3" spans="1:12">
      <c r="A3" s="184"/>
      <c r="B3" s="184"/>
      <c r="C3" s="184"/>
      <c r="D3" s="184"/>
      <c r="E3" s="33" t="s">
        <v>26</v>
      </c>
      <c r="F3" s="179"/>
      <c r="G3" s="179"/>
      <c r="H3" s="179"/>
      <c r="I3" s="179"/>
      <c r="J3" s="33" t="s">
        <v>32</v>
      </c>
      <c r="K3" s="179"/>
      <c r="L3" s="179"/>
    </row>
    <row r="4" spans="1:12">
      <c r="A4" s="180" t="s">
        <v>73</v>
      </c>
      <c r="B4" s="34" t="s">
        <v>12</v>
      </c>
      <c r="C4" s="35" t="s">
        <v>13</v>
      </c>
      <c r="D4" s="35">
        <v>-2775</v>
      </c>
      <c r="E4" s="37">
        <v>44.1</v>
      </c>
      <c r="F4" s="37">
        <v>31.7</v>
      </c>
      <c r="G4" s="37">
        <v>5.4</v>
      </c>
      <c r="H4" s="37">
        <v>1</v>
      </c>
      <c r="I4" s="37">
        <v>6</v>
      </c>
      <c r="J4" s="37">
        <v>3</v>
      </c>
      <c r="K4" s="37">
        <v>6.5</v>
      </c>
      <c r="L4" s="37">
        <v>2.2999999999999998</v>
      </c>
    </row>
    <row r="5" spans="1:12">
      <c r="A5" s="181"/>
      <c r="B5" s="36" t="s">
        <v>14</v>
      </c>
      <c r="C5" s="36" t="s">
        <v>15</v>
      </c>
      <c r="D5" s="36">
        <v>-1000</v>
      </c>
      <c r="E5" s="38">
        <v>42</v>
      </c>
      <c r="F5" s="38">
        <v>28</v>
      </c>
      <c r="G5" s="38">
        <v>5</v>
      </c>
      <c r="H5" s="38">
        <v>1</v>
      </c>
      <c r="I5" s="38">
        <v>4</v>
      </c>
      <c r="J5" s="38">
        <v>1</v>
      </c>
      <c r="K5" s="38">
        <v>18</v>
      </c>
      <c r="L5" s="38">
        <v>1</v>
      </c>
    </row>
    <row r="6" spans="1:12">
      <c r="A6" s="180" t="s">
        <v>74</v>
      </c>
      <c r="B6" s="34" t="s">
        <v>12</v>
      </c>
      <c r="C6" s="36" t="s">
        <v>75</v>
      </c>
      <c r="D6" s="35">
        <v>-2207</v>
      </c>
      <c r="E6" s="37">
        <v>48</v>
      </c>
      <c r="F6" s="37">
        <v>29.5</v>
      </c>
      <c r="G6" s="37">
        <v>4.3</v>
      </c>
      <c r="H6" s="37">
        <v>0.8</v>
      </c>
      <c r="I6" s="37">
        <v>5.3</v>
      </c>
      <c r="J6" s="37">
        <v>2.6</v>
      </c>
      <c r="K6" s="37">
        <v>7.3</v>
      </c>
      <c r="L6" s="37">
        <v>2.1</v>
      </c>
    </row>
    <row r="7" spans="1:12">
      <c r="A7" s="181"/>
      <c r="B7" s="36" t="s">
        <v>14</v>
      </c>
      <c r="C7" s="36" t="s">
        <v>76</v>
      </c>
      <c r="D7" s="36">
        <v>-1005</v>
      </c>
      <c r="E7" s="38">
        <v>43</v>
      </c>
      <c r="F7" s="38">
        <v>20</v>
      </c>
      <c r="G7" s="38">
        <v>5</v>
      </c>
      <c r="H7" s="38">
        <v>1</v>
      </c>
      <c r="I7" s="38">
        <v>4</v>
      </c>
      <c r="J7" s="38">
        <v>2</v>
      </c>
      <c r="K7" s="38">
        <v>25</v>
      </c>
      <c r="L7" s="38">
        <v>1</v>
      </c>
    </row>
    <row r="8" spans="1:12">
      <c r="A8" s="180" t="s">
        <v>77</v>
      </c>
      <c r="B8" s="34" t="s">
        <v>12</v>
      </c>
      <c r="C8" s="36" t="s">
        <v>17</v>
      </c>
      <c r="D8" s="36">
        <v>-2020</v>
      </c>
      <c r="E8" s="38">
        <v>48.2</v>
      </c>
      <c r="F8" s="38">
        <v>27.6</v>
      </c>
      <c r="G8" s="38">
        <v>4.5999999999999996</v>
      </c>
      <c r="H8" s="38">
        <v>0.6</v>
      </c>
      <c r="I8" s="38">
        <v>5.9</v>
      </c>
      <c r="J8" s="38">
        <v>2.4</v>
      </c>
      <c r="K8" s="37">
        <v>8.5</v>
      </c>
      <c r="L8" s="38">
        <v>2.2000000000000002</v>
      </c>
    </row>
    <row r="9" spans="1:12">
      <c r="A9" s="181"/>
      <c r="B9" s="36" t="s">
        <v>14</v>
      </c>
      <c r="C9" s="36" t="s">
        <v>18</v>
      </c>
      <c r="D9" s="36">
        <v>-1003</v>
      </c>
      <c r="E9" s="38">
        <v>41</v>
      </c>
      <c r="F9" s="38">
        <v>20</v>
      </c>
      <c r="G9" s="38">
        <v>3</v>
      </c>
      <c r="H9" s="38">
        <v>0</v>
      </c>
      <c r="I9" s="38">
        <v>4</v>
      </c>
      <c r="J9" s="38">
        <v>1</v>
      </c>
      <c r="K9" s="38">
        <v>29</v>
      </c>
      <c r="L9" s="38">
        <v>1</v>
      </c>
    </row>
  </sheetData>
  <mergeCells count="14">
    <mergeCell ref="L2:L3"/>
    <mergeCell ref="A4:A5"/>
    <mergeCell ref="A6:A7"/>
    <mergeCell ref="A8:A9"/>
    <mergeCell ref="A1:A3"/>
    <mergeCell ref="B1:B3"/>
    <mergeCell ref="C1:C3"/>
    <mergeCell ref="D1:D3"/>
    <mergeCell ref="E1:L1"/>
    <mergeCell ref="F2:F3"/>
    <mergeCell ref="G2:G3"/>
    <mergeCell ref="H2:H3"/>
    <mergeCell ref="I2:I3"/>
    <mergeCell ref="K2:K3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791EC-8177-41C3-ABA3-EA41F8372551}">
  <dimension ref="A1:U168"/>
  <sheetViews>
    <sheetView workbookViewId="0">
      <selection activeCell="H6" sqref="H6"/>
    </sheetView>
  </sheetViews>
  <sheetFormatPr defaultRowHeight="16.5"/>
  <cols>
    <col min="2" max="2" width="11.125" customWidth="1"/>
    <col min="4" max="4" width="10.625" customWidth="1"/>
  </cols>
  <sheetData>
    <row r="1" spans="1:6" ht="50.25" thickBot="1">
      <c r="C1" s="51" t="s">
        <v>221</v>
      </c>
      <c r="D1" s="51" t="s">
        <v>156</v>
      </c>
      <c r="E1" s="51" t="s">
        <v>280</v>
      </c>
    </row>
    <row r="2" spans="1:6" ht="18" thickTop="1" thickBot="1">
      <c r="A2" s="189"/>
      <c r="B2" s="190"/>
      <c r="C2" s="25" t="s">
        <v>5</v>
      </c>
      <c r="D2" s="42" t="s">
        <v>81</v>
      </c>
      <c r="E2" s="42" t="s">
        <v>81</v>
      </c>
    </row>
    <row r="3" spans="1:6" ht="18" thickTop="1" thickBot="1">
      <c r="A3" s="191" t="s">
        <v>82</v>
      </c>
      <c r="B3" s="192"/>
      <c r="C3" s="58">
        <v>49.3</v>
      </c>
      <c r="D3" s="59">
        <v>62.7</v>
      </c>
      <c r="E3" s="60">
        <v>62.2</v>
      </c>
      <c r="F3">
        <f>E3-C3</f>
        <v>12.900000000000006</v>
      </c>
    </row>
    <row r="4" spans="1:6" ht="17.25" thickTop="1">
      <c r="A4" s="193" t="s">
        <v>83</v>
      </c>
      <c r="B4" s="43" t="s">
        <v>84</v>
      </c>
      <c r="C4" s="61">
        <v>47.2</v>
      </c>
      <c r="D4" s="62">
        <v>62.5</v>
      </c>
      <c r="E4" s="63">
        <v>62.3</v>
      </c>
      <c r="F4">
        <f t="shared" ref="F4:F30" si="0">E4-C4</f>
        <v>15.099999999999994</v>
      </c>
    </row>
    <row r="5" spans="1:6">
      <c r="A5" s="194"/>
      <c r="B5" s="19" t="s">
        <v>85</v>
      </c>
      <c r="C5" s="23">
        <v>51.3</v>
      </c>
      <c r="D5" s="64">
        <v>62.8</v>
      </c>
      <c r="E5" s="65">
        <v>62.2</v>
      </c>
      <c r="F5">
        <f t="shared" si="0"/>
        <v>10.900000000000006</v>
      </c>
    </row>
    <row r="6" spans="1:6">
      <c r="A6" s="195" t="s">
        <v>86</v>
      </c>
      <c r="B6" s="46" t="s">
        <v>87</v>
      </c>
      <c r="C6" s="66">
        <v>39.5</v>
      </c>
      <c r="D6" s="67">
        <v>56.1</v>
      </c>
      <c r="E6" s="68">
        <v>45.8</v>
      </c>
      <c r="F6">
        <f t="shared" si="0"/>
        <v>6.2999999999999972</v>
      </c>
    </row>
    <row r="7" spans="1:6">
      <c r="A7" s="196"/>
      <c r="B7" s="47" t="s">
        <v>88</v>
      </c>
      <c r="C7" s="21">
        <v>42.4</v>
      </c>
      <c r="D7" s="69">
        <v>65.5</v>
      </c>
      <c r="E7" s="70">
        <v>61.6</v>
      </c>
      <c r="F7">
        <f t="shared" si="0"/>
        <v>19.200000000000003</v>
      </c>
    </row>
    <row r="8" spans="1:6">
      <c r="A8" s="196"/>
      <c r="B8" s="47" t="s">
        <v>89</v>
      </c>
      <c r="C8" s="21">
        <v>66.400000000000006</v>
      </c>
      <c r="D8" s="69">
        <v>78.7</v>
      </c>
      <c r="E8" s="70">
        <v>79.3</v>
      </c>
      <c r="F8">
        <f t="shared" si="0"/>
        <v>12.899999999999991</v>
      </c>
    </row>
    <row r="9" spans="1:6">
      <c r="A9" s="196"/>
      <c r="B9" s="47" t="s">
        <v>90</v>
      </c>
      <c r="C9" s="21">
        <v>65.099999999999994</v>
      </c>
      <c r="D9" s="69">
        <v>72.599999999999994</v>
      </c>
      <c r="E9" s="70">
        <v>75.2</v>
      </c>
      <c r="F9">
        <f t="shared" si="0"/>
        <v>10.100000000000009</v>
      </c>
    </row>
    <row r="10" spans="1:6">
      <c r="A10" s="196"/>
      <c r="B10" s="47" t="s">
        <v>91</v>
      </c>
      <c r="C10" s="21">
        <v>43.1</v>
      </c>
      <c r="D10" s="69">
        <v>53.9</v>
      </c>
      <c r="E10" s="70">
        <v>56.3</v>
      </c>
      <c r="F10">
        <f t="shared" si="0"/>
        <v>13.199999999999996</v>
      </c>
    </row>
    <row r="11" spans="1:6">
      <c r="A11" s="194"/>
      <c r="B11" s="49" t="s">
        <v>92</v>
      </c>
      <c r="C11" s="23">
        <v>33.4</v>
      </c>
      <c r="D11" s="64">
        <v>46.3</v>
      </c>
      <c r="E11" s="65">
        <v>50.3</v>
      </c>
      <c r="F11">
        <f t="shared" si="0"/>
        <v>16.899999999999999</v>
      </c>
    </row>
    <row r="12" spans="1:6">
      <c r="A12" s="195" t="s">
        <v>93</v>
      </c>
      <c r="B12" s="50" t="s">
        <v>94</v>
      </c>
      <c r="C12" s="66">
        <v>47.6</v>
      </c>
      <c r="D12" s="67">
        <v>61.8</v>
      </c>
      <c r="E12" s="68">
        <v>61</v>
      </c>
      <c r="F12">
        <f t="shared" si="0"/>
        <v>13.399999999999999</v>
      </c>
    </row>
    <row r="13" spans="1:6" ht="24">
      <c r="A13" s="196"/>
      <c r="B13" s="18" t="s">
        <v>98</v>
      </c>
      <c r="C13" s="21">
        <v>51.2</v>
      </c>
      <c r="D13" s="69">
        <v>65.2</v>
      </c>
      <c r="E13" s="70">
        <v>64.099999999999994</v>
      </c>
      <c r="F13">
        <f t="shared" si="0"/>
        <v>12.899999999999991</v>
      </c>
    </row>
    <row r="14" spans="1:6" ht="36">
      <c r="A14" s="196"/>
      <c r="B14" s="18" t="s">
        <v>99</v>
      </c>
      <c r="C14" s="21">
        <v>49.8</v>
      </c>
      <c r="D14" s="69">
        <v>53.4</v>
      </c>
      <c r="E14" s="70">
        <v>58.1</v>
      </c>
      <c r="F14">
        <f t="shared" si="0"/>
        <v>8.3000000000000043</v>
      </c>
    </row>
    <row r="15" spans="1:6" ht="36">
      <c r="A15" s="196"/>
      <c r="B15" s="18" t="s">
        <v>100</v>
      </c>
      <c r="C15" s="21">
        <v>68.7</v>
      </c>
      <c r="D15" s="69">
        <v>78.599999999999994</v>
      </c>
      <c r="E15" s="70">
        <v>79.099999999999994</v>
      </c>
      <c r="F15">
        <f t="shared" si="0"/>
        <v>10.399999999999991</v>
      </c>
    </row>
    <row r="16" spans="1:6" ht="24">
      <c r="A16" s="196"/>
      <c r="B16" s="18" t="s">
        <v>101</v>
      </c>
      <c r="C16" s="21">
        <v>38.5</v>
      </c>
      <c r="D16" s="69">
        <v>52.9</v>
      </c>
      <c r="E16" s="70">
        <v>52.1</v>
      </c>
      <c r="F16">
        <f t="shared" si="0"/>
        <v>13.600000000000001</v>
      </c>
    </row>
    <row r="17" spans="1:6" ht="36">
      <c r="A17" s="196"/>
      <c r="B17" s="18" t="s">
        <v>102</v>
      </c>
      <c r="C17" s="21">
        <v>41</v>
      </c>
      <c r="D17" s="69">
        <v>58.1</v>
      </c>
      <c r="E17" s="70">
        <v>58.1</v>
      </c>
      <c r="F17">
        <f t="shared" si="0"/>
        <v>17.100000000000001</v>
      </c>
    </row>
    <row r="18" spans="1:6" ht="24">
      <c r="A18" s="194"/>
      <c r="B18" s="19" t="s">
        <v>103</v>
      </c>
      <c r="C18" s="23">
        <v>50.1</v>
      </c>
      <c r="D18" s="64">
        <v>73.400000000000006</v>
      </c>
      <c r="E18" s="65">
        <v>62.5</v>
      </c>
      <c r="F18">
        <f t="shared" si="0"/>
        <v>12.399999999999999</v>
      </c>
    </row>
    <row r="19" spans="1:6">
      <c r="A19" s="45" t="s">
        <v>95</v>
      </c>
      <c r="B19" s="50" t="s">
        <v>34</v>
      </c>
      <c r="C19" s="66">
        <v>88.6</v>
      </c>
      <c r="D19" s="67">
        <v>94.1</v>
      </c>
      <c r="E19" s="68">
        <v>93.2</v>
      </c>
      <c r="F19">
        <f t="shared" si="0"/>
        <v>4.6000000000000085</v>
      </c>
    </row>
    <row r="20" spans="1:6">
      <c r="A20" s="52" t="s">
        <v>96</v>
      </c>
      <c r="B20" s="18" t="s">
        <v>35</v>
      </c>
      <c r="C20" s="21">
        <v>51.8</v>
      </c>
      <c r="D20" s="69">
        <v>67.7</v>
      </c>
      <c r="E20" s="70">
        <v>67.099999999999994</v>
      </c>
      <c r="F20">
        <f t="shared" si="0"/>
        <v>15.299999999999997</v>
      </c>
    </row>
    <row r="21" spans="1:6">
      <c r="A21" s="53"/>
      <c r="B21" s="19" t="s">
        <v>36</v>
      </c>
      <c r="C21" s="23">
        <v>11.7</v>
      </c>
      <c r="D21" s="64">
        <v>24.1</v>
      </c>
      <c r="E21" s="65">
        <v>23.4</v>
      </c>
      <c r="F21">
        <f t="shared" si="0"/>
        <v>11.7</v>
      </c>
    </row>
    <row r="22" spans="1:6">
      <c r="A22" s="45" t="s">
        <v>32</v>
      </c>
      <c r="B22" s="50" t="s">
        <v>104</v>
      </c>
      <c r="C22" s="66">
        <v>94</v>
      </c>
      <c r="D22" s="67">
        <v>95.8</v>
      </c>
      <c r="E22" s="68">
        <v>95.8</v>
      </c>
      <c r="F22">
        <f t="shared" si="0"/>
        <v>1.7999999999999972</v>
      </c>
    </row>
    <row r="23" spans="1:6">
      <c r="A23" s="52" t="s">
        <v>97</v>
      </c>
      <c r="B23" s="18" t="s">
        <v>27</v>
      </c>
      <c r="C23" s="21">
        <v>2.5</v>
      </c>
      <c r="D23" s="69">
        <v>15.1</v>
      </c>
      <c r="E23" s="70">
        <v>14.2</v>
      </c>
      <c r="F23">
        <f t="shared" si="0"/>
        <v>11.7</v>
      </c>
    </row>
    <row r="24" spans="1:6">
      <c r="A24" s="54"/>
      <c r="B24" s="18" t="s">
        <v>28</v>
      </c>
      <c r="C24" s="21">
        <v>81.900000000000006</v>
      </c>
      <c r="D24" s="69">
        <v>95.4</v>
      </c>
      <c r="E24" s="70">
        <v>93</v>
      </c>
      <c r="F24">
        <f t="shared" si="0"/>
        <v>11.099999999999994</v>
      </c>
    </row>
    <row r="25" spans="1:6">
      <c r="A25" s="54"/>
      <c r="B25" s="18" t="s">
        <v>30</v>
      </c>
      <c r="C25" s="21">
        <v>4.0999999999999996</v>
      </c>
      <c r="D25" s="69">
        <v>89.1</v>
      </c>
      <c r="E25" s="70">
        <v>86.4</v>
      </c>
      <c r="F25">
        <f t="shared" si="0"/>
        <v>82.300000000000011</v>
      </c>
    </row>
    <row r="26" spans="1:6">
      <c r="A26" s="54"/>
      <c r="B26" s="18" t="s">
        <v>29</v>
      </c>
      <c r="C26" s="21">
        <v>45.9</v>
      </c>
      <c r="D26" s="69">
        <v>39.5</v>
      </c>
      <c r="E26" s="70">
        <v>34.5</v>
      </c>
      <c r="F26">
        <f t="shared" si="0"/>
        <v>-11.399999999999999</v>
      </c>
    </row>
    <row r="27" spans="1:6">
      <c r="A27" s="54"/>
      <c r="B27" s="18" t="s">
        <v>105</v>
      </c>
      <c r="C27" s="21">
        <v>24.9</v>
      </c>
      <c r="D27" s="69">
        <v>43.2</v>
      </c>
      <c r="E27" s="70">
        <v>46.4</v>
      </c>
      <c r="F27">
        <f t="shared" si="0"/>
        <v>21.5</v>
      </c>
    </row>
    <row r="28" spans="1:6">
      <c r="A28" s="54"/>
      <c r="B28" s="18" t="s">
        <v>262</v>
      </c>
      <c r="C28" s="247">
        <v>13</v>
      </c>
      <c r="D28" s="271">
        <v>43.8</v>
      </c>
      <c r="E28" s="248">
        <v>39</v>
      </c>
      <c r="F28">
        <f t="shared" si="0"/>
        <v>26</v>
      </c>
    </row>
    <row r="29" spans="1:6">
      <c r="A29" s="53"/>
      <c r="B29" s="19"/>
      <c r="C29" s="23"/>
      <c r="D29" s="64"/>
      <c r="E29" s="65"/>
      <c r="F29" s="57"/>
    </row>
    <row r="30" spans="1:6">
      <c r="C30" s="247"/>
      <c r="D30" s="271"/>
      <c r="E30" s="248"/>
    </row>
    <row r="67" spans="3:13" ht="24">
      <c r="C67" s="188"/>
      <c r="D67" s="188"/>
      <c r="E67" s="72" t="s">
        <v>107</v>
      </c>
      <c r="F67" s="72" t="s">
        <v>108</v>
      </c>
      <c r="G67" s="72" t="s">
        <v>110</v>
      </c>
      <c r="I67" s="94"/>
      <c r="J67" s="94"/>
      <c r="K67" s="72" t="s">
        <v>145</v>
      </c>
      <c r="L67" s="72" t="s">
        <v>146</v>
      </c>
      <c r="M67" s="72" t="s">
        <v>147</v>
      </c>
    </row>
    <row r="68" spans="3:13">
      <c r="C68" s="215" t="s">
        <v>82</v>
      </c>
      <c r="D68" s="215"/>
      <c r="E68" s="73">
        <v>49.3</v>
      </c>
      <c r="F68" s="73">
        <v>62.2</v>
      </c>
      <c r="G68" s="75">
        <v>12.900000000000006</v>
      </c>
      <c r="H68" s="56"/>
      <c r="I68" s="205" t="s">
        <v>83</v>
      </c>
      <c r="J68" s="72" t="s">
        <v>143</v>
      </c>
      <c r="K68" s="76">
        <v>48.611818382479882</v>
      </c>
      <c r="L68" s="74">
        <v>53.332323718492248</v>
      </c>
      <c r="M68" s="95">
        <f t="shared" ref="M68:M85" si="1">L68-K68</f>
        <v>4.7205053360123657</v>
      </c>
    </row>
    <row r="69" spans="3:13">
      <c r="C69" s="205" t="s">
        <v>83</v>
      </c>
      <c r="D69" s="72" t="s">
        <v>84</v>
      </c>
      <c r="E69" s="76">
        <v>47.2</v>
      </c>
      <c r="F69" s="74">
        <v>62.3</v>
      </c>
      <c r="G69" s="75">
        <v>15.099999999999994</v>
      </c>
      <c r="H69" s="56"/>
      <c r="I69" s="205"/>
      <c r="J69" s="72" t="s">
        <v>144</v>
      </c>
      <c r="K69" s="76">
        <v>51.388181617519983</v>
      </c>
      <c r="L69" s="74">
        <v>46.667676281507781</v>
      </c>
      <c r="M69" s="95">
        <f t="shared" si="1"/>
        <v>-4.7205053360122022</v>
      </c>
    </row>
    <row r="70" spans="3:13">
      <c r="C70" s="205"/>
      <c r="D70" s="72" t="s">
        <v>85</v>
      </c>
      <c r="E70" s="76">
        <v>51.3</v>
      </c>
      <c r="F70" s="74">
        <v>62.2</v>
      </c>
      <c r="G70" s="75">
        <v>10.900000000000006</v>
      </c>
      <c r="H70" s="56"/>
      <c r="I70" s="208" t="s">
        <v>138</v>
      </c>
      <c r="J70" s="72" t="s">
        <v>127</v>
      </c>
      <c r="K70" s="76">
        <v>10.396595922933949</v>
      </c>
      <c r="L70" s="74">
        <v>13.030924739038067</v>
      </c>
      <c r="M70" s="95">
        <f t="shared" si="1"/>
        <v>2.6343288161041176</v>
      </c>
    </row>
    <row r="71" spans="3:13">
      <c r="C71" s="205" t="s">
        <v>86</v>
      </c>
      <c r="D71" s="77" t="s">
        <v>87</v>
      </c>
      <c r="E71" s="76">
        <v>39.5</v>
      </c>
      <c r="F71" s="74">
        <v>45.8</v>
      </c>
      <c r="G71" s="75">
        <v>6.2999999999999972</v>
      </c>
      <c r="H71" s="56"/>
      <c r="I71" s="209"/>
      <c r="J71" s="72" t="s">
        <v>128</v>
      </c>
      <c r="K71" s="76">
        <v>12.86270993653377</v>
      </c>
      <c r="L71" s="74">
        <v>21.914480006693854</v>
      </c>
      <c r="M71" s="95">
        <f t="shared" si="1"/>
        <v>9.0517700701600834</v>
      </c>
    </row>
    <row r="72" spans="3:13">
      <c r="C72" s="205"/>
      <c r="D72" s="77" t="s">
        <v>88</v>
      </c>
      <c r="E72" s="76">
        <v>42.4</v>
      </c>
      <c r="F72" s="74">
        <v>61.6</v>
      </c>
      <c r="G72" s="75">
        <v>19.200000000000003</v>
      </c>
      <c r="H72" s="56"/>
      <c r="I72" s="209"/>
      <c r="J72" s="72" t="s">
        <v>129</v>
      </c>
      <c r="K72" s="76">
        <v>22.342682328272769</v>
      </c>
      <c r="L72" s="74">
        <v>20.327913482867938</v>
      </c>
      <c r="M72" s="95">
        <f t="shared" si="1"/>
        <v>-2.0147688454048307</v>
      </c>
    </row>
    <row r="73" spans="3:13">
      <c r="C73" s="205"/>
      <c r="D73" s="77" t="s">
        <v>89</v>
      </c>
      <c r="E73" s="76">
        <v>66.400000000000006</v>
      </c>
      <c r="F73" s="74">
        <v>79.3</v>
      </c>
      <c r="G73" s="75">
        <v>12.899999999999991</v>
      </c>
      <c r="H73" s="56"/>
      <c r="I73" s="209"/>
      <c r="J73" s="72" t="s">
        <v>130</v>
      </c>
      <c r="K73" s="76">
        <v>25.974949971148142</v>
      </c>
      <c r="L73" s="74">
        <v>14.743262733076062</v>
      </c>
      <c r="M73" s="95">
        <f t="shared" si="1"/>
        <v>-11.23168723807208</v>
      </c>
    </row>
    <row r="74" spans="3:13">
      <c r="C74" s="205"/>
      <c r="D74" s="77" t="s">
        <v>90</v>
      </c>
      <c r="E74" s="76">
        <v>65.099999999999994</v>
      </c>
      <c r="F74" s="74">
        <v>75.2</v>
      </c>
      <c r="G74" s="75">
        <v>10.100000000000009</v>
      </c>
      <c r="H74" s="56"/>
      <c r="I74" s="209"/>
      <c r="J74" s="72" t="s">
        <v>131</v>
      </c>
      <c r="K74" s="76">
        <v>16.043340884024001</v>
      </c>
      <c r="L74" s="74">
        <v>16.223595662796484</v>
      </c>
      <c r="M74" s="95">
        <f t="shared" si="1"/>
        <v>0.18025477877248264</v>
      </c>
    </row>
    <row r="75" spans="3:13">
      <c r="C75" s="205"/>
      <c r="D75" s="77" t="s">
        <v>91</v>
      </c>
      <c r="E75" s="76">
        <v>43.1</v>
      </c>
      <c r="F75" s="74">
        <v>56.3</v>
      </c>
      <c r="G75" s="75">
        <v>13.199999999999996</v>
      </c>
      <c r="H75" s="56"/>
      <c r="I75" s="210"/>
      <c r="J75" s="72" t="s">
        <v>132</v>
      </c>
      <c r="K75" s="76">
        <v>12.379720957087239</v>
      </c>
      <c r="L75" s="74">
        <v>13.75982337552766</v>
      </c>
      <c r="M75" s="95">
        <f t="shared" si="1"/>
        <v>1.3801024184404209</v>
      </c>
    </row>
    <row r="76" spans="3:13">
      <c r="C76" s="205"/>
      <c r="D76" s="77" t="s">
        <v>92</v>
      </c>
      <c r="E76" s="76">
        <v>33.4</v>
      </c>
      <c r="F76" s="74">
        <v>50.3</v>
      </c>
      <c r="G76" s="75">
        <v>16.899999999999999</v>
      </c>
      <c r="H76" s="56"/>
      <c r="I76" s="208" t="s">
        <v>139</v>
      </c>
      <c r="J76" s="72" t="s">
        <v>94</v>
      </c>
      <c r="K76" s="76">
        <v>18.336773767986784</v>
      </c>
      <c r="L76" s="74">
        <v>17.725623292950026</v>
      </c>
      <c r="M76" s="95">
        <f t="shared" si="1"/>
        <v>-0.61115047503675868</v>
      </c>
    </row>
    <row r="77" spans="3:13">
      <c r="C77" s="205" t="s">
        <v>139</v>
      </c>
      <c r="D77" s="72" t="s">
        <v>94</v>
      </c>
      <c r="E77" s="76">
        <v>47.6</v>
      </c>
      <c r="F77" s="74">
        <v>61</v>
      </c>
      <c r="G77" s="75">
        <v>13.399999999999999</v>
      </c>
      <c r="H77" s="56"/>
      <c r="I77" s="209"/>
      <c r="J77" s="72" t="s">
        <v>113</v>
      </c>
      <c r="K77" s="76">
        <v>33.981115818622868</v>
      </c>
      <c r="L77" s="74">
        <v>31.176770694762268</v>
      </c>
      <c r="M77" s="95">
        <f t="shared" si="1"/>
        <v>-2.8043451238605996</v>
      </c>
    </row>
    <row r="78" spans="3:13" ht="16.5" customHeight="1">
      <c r="C78" s="205"/>
      <c r="D78" s="72" t="s">
        <v>114</v>
      </c>
      <c r="E78" s="76">
        <v>51.2</v>
      </c>
      <c r="F78" s="74">
        <v>64.099999999999994</v>
      </c>
      <c r="G78" s="75">
        <v>12.899999999999991</v>
      </c>
      <c r="H78" s="56"/>
      <c r="I78" s="209"/>
      <c r="J78" s="72" t="s">
        <v>133</v>
      </c>
      <c r="K78" s="76">
        <v>10.939181559927823</v>
      </c>
      <c r="L78" s="74">
        <v>6.8338517870023097</v>
      </c>
      <c r="M78" s="95">
        <f t="shared" si="1"/>
        <v>-4.1053297729255132</v>
      </c>
    </row>
    <row r="79" spans="3:13" ht="16.5" customHeight="1">
      <c r="C79" s="205"/>
      <c r="D79" s="72" t="s">
        <v>115</v>
      </c>
      <c r="E79" s="76">
        <v>49.8</v>
      </c>
      <c r="F79" s="74">
        <v>58.1</v>
      </c>
      <c r="G79" s="75">
        <v>8.3000000000000043</v>
      </c>
      <c r="H79" s="56"/>
      <c r="I79" s="209"/>
      <c r="J79" s="72" t="s">
        <v>116</v>
      </c>
      <c r="K79" s="76">
        <v>12.802454347393835</v>
      </c>
      <c r="L79" s="74">
        <v>10.065890599664355</v>
      </c>
      <c r="M79" s="95">
        <f t="shared" si="1"/>
        <v>-2.7365637477294804</v>
      </c>
    </row>
    <row r="80" spans="3:13">
      <c r="C80" s="205"/>
      <c r="D80" s="72" t="s">
        <v>117</v>
      </c>
      <c r="E80" s="76">
        <v>68.7</v>
      </c>
      <c r="F80" s="74">
        <v>79.099999999999994</v>
      </c>
      <c r="G80" s="75">
        <v>10.399999999999991</v>
      </c>
      <c r="H80" s="56"/>
      <c r="I80" s="209"/>
      <c r="J80" s="72" t="s">
        <v>118</v>
      </c>
      <c r="K80" s="76">
        <v>7.1002707437986663</v>
      </c>
      <c r="L80" s="74">
        <v>11.230966694113738</v>
      </c>
      <c r="M80" s="95">
        <f t="shared" si="1"/>
        <v>4.1306959503150713</v>
      </c>
    </row>
    <row r="81" spans="3:13" ht="16.5" customHeight="1">
      <c r="C81" s="205"/>
      <c r="D81" s="72" t="s">
        <v>119</v>
      </c>
      <c r="E81" s="76">
        <v>38.5</v>
      </c>
      <c r="F81" s="74">
        <v>52.1</v>
      </c>
      <c r="G81" s="75">
        <v>13.600000000000001</v>
      </c>
      <c r="H81" s="56"/>
      <c r="I81" s="209"/>
      <c r="J81" s="72" t="s">
        <v>120</v>
      </c>
      <c r="K81" s="76">
        <v>12.10015372972992</v>
      </c>
      <c r="L81" s="74">
        <v>20.121978297354936</v>
      </c>
      <c r="M81" s="95">
        <f t="shared" si="1"/>
        <v>8.0218245676250159</v>
      </c>
    </row>
    <row r="82" spans="3:13">
      <c r="C82" s="205"/>
      <c r="D82" s="72" t="s">
        <v>121</v>
      </c>
      <c r="E82" s="76">
        <v>41</v>
      </c>
      <c r="F82" s="74">
        <v>58.1</v>
      </c>
      <c r="G82" s="75">
        <v>17.100000000000001</v>
      </c>
      <c r="H82" s="56"/>
      <c r="I82" s="210"/>
      <c r="J82" s="72" t="s">
        <v>122</v>
      </c>
      <c r="K82" s="76">
        <v>4.7400500325400463</v>
      </c>
      <c r="L82" s="74">
        <v>2.8449186341524615</v>
      </c>
      <c r="M82" s="95">
        <f t="shared" si="1"/>
        <v>-1.8951313983875848</v>
      </c>
    </row>
    <row r="83" spans="3:13">
      <c r="C83" s="205"/>
      <c r="D83" s="72" t="s">
        <v>123</v>
      </c>
      <c r="E83" s="76">
        <v>50.1</v>
      </c>
      <c r="F83" s="74">
        <v>62.5</v>
      </c>
      <c r="G83" s="75">
        <v>12.399999999999999</v>
      </c>
      <c r="H83" s="56"/>
      <c r="I83" s="205" t="s">
        <v>111</v>
      </c>
      <c r="J83" s="72" t="s">
        <v>34</v>
      </c>
      <c r="K83" s="76">
        <v>47.766627300349228</v>
      </c>
      <c r="L83" s="74">
        <v>13.47897671617017</v>
      </c>
      <c r="M83" s="95">
        <f t="shared" si="1"/>
        <v>-34.287650584179062</v>
      </c>
    </row>
    <row r="84" spans="3:13">
      <c r="C84" s="205" t="s">
        <v>111</v>
      </c>
      <c r="D84" s="72" t="s">
        <v>34</v>
      </c>
      <c r="E84" s="76">
        <v>88.6</v>
      </c>
      <c r="F84" s="74">
        <v>93.2</v>
      </c>
      <c r="G84" s="75">
        <v>4.6000000000000085</v>
      </c>
      <c r="H84" s="56"/>
      <c r="I84" s="205"/>
      <c r="J84" s="72" t="s">
        <v>35</v>
      </c>
      <c r="K84" s="76">
        <v>44.940300384961283</v>
      </c>
      <c r="L84" s="74">
        <v>65.852578591377124</v>
      </c>
      <c r="M84" s="95">
        <f t="shared" si="1"/>
        <v>20.912278206415841</v>
      </c>
    </row>
    <row r="85" spans="3:13">
      <c r="C85" s="205"/>
      <c r="D85" s="72" t="s">
        <v>35</v>
      </c>
      <c r="E85" s="76">
        <v>51.8</v>
      </c>
      <c r="F85" s="74">
        <v>67.099999999999994</v>
      </c>
      <c r="G85" s="75">
        <v>15.299999999999997</v>
      </c>
      <c r="H85" s="56"/>
      <c r="I85" s="205"/>
      <c r="J85" s="72" t="s">
        <v>36</v>
      </c>
      <c r="K85" s="76">
        <v>7.2930723146893328</v>
      </c>
      <c r="L85" s="74">
        <v>20.668444692452709</v>
      </c>
      <c r="M85" s="95">
        <f t="shared" si="1"/>
        <v>13.375372377763377</v>
      </c>
    </row>
    <row r="86" spans="3:13">
      <c r="C86" s="205"/>
      <c r="D86" s="72" t="s">
        <v>36</v>
      </c>
      <c r="E86" s="76">
        <v>11.7</v>
      </c>
      <c r="F86" s="74">
        <v>23.4</v>
      </c>
      <c r="G86" s="75">
        <v>11.7</v>
      </c>
      <c r="H86" s="56"/>
      <c r="J86" s="72"/>
    </row>
    <row r="87" spans="3:13">
      <c r="C87" s="205" t="s">
        <v>112</v>
      </c>
      <c r="D87" s="72" t="s">
        <v>104</v>
      </c>
      <c r="E87" s="76">
        <v>94</v>
      </c>
      <c r="F87" s="74">
        <v>95.8</v>
      </c>
      <c r="G87" s="75">
        <v>1.7999999999999972</v>
      </c>
      <c r="H87" s="56"/>
    </row>
    <row r="88" spans="3:13">
      <c r="C88" s="205"/>
      <c r="D88" s="72" t="s">
        <v>27</v>
      </c>
      <c r="E88" s="76">
        <v>2.5</v>
      </c>
      <c r="F88" s="74">
        <v>14.2</v>
      </c>
      <c r="G88" s="75">
        <v>11.7</v>
      </c>
      <c r="H88" s="56"/>
    </row>
    <row r="89" spans="3:13">
      <c r="C89" s="205"/>
      <c r="D89" s="72" t="s">
        <v>28</v>
      </c>
      <c r="E89" s="76">
        <v>81.900000000000006</v>
      </c>
      <c r="F89" s="74">
        <v>93</v>
      </c>
      <c r="G89" s="75">
        <v>11.099999999999994</v>
      </c>
      <c r="H89" s="56"/>
    </row>
    <row r="90" spans="3:13">
      <c r="C90" s="205"/>
      <c r="D90" s="72" t="s">
        <v>30</v>
      </c>
      <c r="E90" s="76">
        <v>4.0999999999999996</v>
      </c>
      <c r="F90" s="74">
        <v>86.4</v>
      </c>
      <c r="G90" s="75">
        <v>82.300000000000011</v>
      </c>
      <c r="H90" s="56"/>
    </row>
    <row r="91" spans="3:13">
      <c r="C91" s="205"/>
      <c r="D91" s="72" t="s">
        <v>29</v>
      </c>
      <c r="E91" s="76">
        <v>45.9</v>
      </c>
      <c r="F91" s="74">
        <v>34.5</v>
      </c>
      <c r="G91" s="75">
        <v>-11.399999999999999</v>
      </c>
      <c r="H91" s="56"/>
    </row>
    <row r="92" spans="3:13">
      <c r="C92" s="205"/>
      <c r="D92" s="72" t="s">
        <v>105</v>
      </c>
      <c r="E92" s="76">
        <v>24.9</v>
      </c>
      <c r="F92" s="74">
        <v>46.4</v>
      </c>
      <c r="G92" s="75">
        <v>21.5</v>
      </c>
      <c r="H92" s="56"/>
    </row>
    <row r="93" spans="3:13">
      <c r="C93" s="205"/>
      <c r="D93" s="72" t="s">
        <v>106</v>
      </c>
      <c r="E93" s="76">
        <v>11.6</v>
      </c>
      <c r="F93" s="74">
        <v>36.4</v>
      </c>
      <c r="G93" s="75">
        <v>24.799999999999997</v>
      </c>
      <c r="H93" s="56"/>
    </row>
    <row r="94" spans="3:13">
      <c r="C94" s="205"/>
      <c r="D94" s="72" t="s">
        <v>55</v>
      </c>
      <c r="E94" s="76">
        <v>18</v>
      </c>
      <c r="F94" s="74">
        <v>47</v>
      </c>
      <c r="G94" s="75">
        <v>29</v>
      </c>
      <c r="H94" s="56"/>
    </row>
    <row r="101" spans="2:21" ht="17.25" thickBot="1"/>
    <row r="102" spans="2:21" ht="17.25" thickBot="1">
      <c r="B102" s="211" t="s">
        <v>124</v>
      </c>
      <c r="C102" s="212"/>
      <c r="D102" s="204" t="s">
        <v>83</v>
      </c>
      <c r="E102" s="199"/>
      <c r="F102" s="197" t="s">
        <v>138</v>
      </c>
      <c r="G102" s="198"/>
      <c r="H102" s="198"/>
      <c r="I102" s="198"/>
      <c r="J102" s="198"/>
      <c r="K102" s="199"/>
      <c r="L102" s="197" t="s">
        <v>139</v>
      </c>
      <c r="M102" s="198"/>
      <c r="N102" s="198"/>
      <c r="O102" s="198"/>
      <c r="P102" s="198"/>
      <c r="Q102" s="198"/>
      <c r="R102" s="199"/>
      <c r="S102" s="200" t="s">
        <v>140</v>
      </c>
      <c r="T102" s="198"/>
      <c r="U102" s="201"/>
    </row>
    <row r="103" spans="2:21" ht="23.25" thickBot="1">
      <c r="B103" s="213"/>
      <c r="C103" s="214"/>
      <c r="D103" s="78" t="s">
        <v>125</v>
      </c>
      <c r="E103" s="78" t="s">
        <v>126</v>
      </c>
      <c r="F103" s="78" t="s">
        <v>127</v>
      </c>
      <c r="G103" s="78" t="s">
        <v>128</v>
      </c>
      <c r="H103" s="78" t="s">
        <v>129</v>
      </c>
      <c r="I103" s="78" t="s">
        <v>130</v>
      </c>
      <c r="J103" s="78" t="s">
        <v>131</v>
      </c>
      <c r="K103" s="78" t="s">
        <v>132</v>
      </c>
      <c r="L103" s="78" t="s">
        <v>94</v>
      </c>
      <c r="M103" s="78" t="s">
        <v>113</v>
      </c>
      <c r="N103" s="78" t="s">
        <v>133</v>
      </c>
      <c r="O103" s="78" t="s">
        <v>116</v>
      </c>
      <c r="P103" s="78" t="s">
        <v>118</v>
      </c>
      <c r="Q103" s="78" t="s">
        <v>120</v>
      </c>
      <c r="R103" s="78" t="s">
        <v>122</v>
      </c>
      <c r="S103" s="78" t="s">
        <v>34</v>
      </c>
      <c r="T103" s="78" t="s">
        <v>35</v>
      </c>
      <c r="U103" s="79" t="s">
        <v>36</v>
      </c>
    </row>
    <row r="104" spans="2:21">
      <c r="B104" s="80" t="s">
        <v>134</v>
      </c>
      <c r="C104" s="81" t="s">
        <v>134</v>
      </c>
      <c r="D104" s="82">
        <v>49.603960396039703</v>
      </c>
      <c r="E104" s="82">
        <v>50.39603960396029</v>
      </c>
      <c r="F104" s="82">
        <v>14.900990099009887</v>
      </c>
      <c r="G104" s="82">
        <v>15.000000000000011</v>
      </c>
      <c r="H104" s="82">
        <v>17.178217821782184</v>
      </c>
      <c r="I104" s="82">
        <v>19.455445544554436</v>
      </c>
      <c r="J104" s="82">
        <v>17.772277227722721</v>
      </c>
      <c r="K104" s="82">
        <v>15.693069306930687</v>
      </c>
      <c r="L104" s="82">
        <v>18.5643564356435</v>
      </c>
      <c r="M104" s="82">
        <v>32.376237623762357</v>
      </c>
      <c r="N104" s="82">
        <v>10.742574257425726</v>
      </c>
      <c r="O104" s="82">
        <v>9.6039603960395965</v>
      </c>
      <c r="P104" s="82">
        <v>9.5544554455445478</v>
      </c>
      <c r="Q104" s="82">
        <v>14.85148514851482</v>
      </c>
      <c r="R104" s="82">
        <v>4.3069306930693054</v>
      </c>
      <c r="S104" s="82">
        <v>26.888367654578882</v>
      </c>
      <c r="T104" s="82">
        <v>45.926971441757047</v>
      </c>
      <c r="U104" s="83">
        <v>27.184660903664071</v>
      </c>
    </row>
    <row r="105" spans="2:21" ht="23.25" thickBot="1">
      <c r="B105" s="202" t="s">
        <v>135</v>
      </c>
      <c r="C105" s="84" t="s">
        <v>136</v>
      </c>
      <c r="D105" s="85">
        <v>48.611818382479882</v>
      </c>
      <c r="E105" s="85">
        <v>51.388181617519983</v>
      </c>
      <c r="F105" s="85">
        <v>10.396595922933949</v>
      </c>
      <c r="G105" s="85">
        <v>12.86270993653377</v>
      </c>
      <c r="H105" s="85">
        <v>22.342682328272769</v>
      </c>
      <c r="I105" s="85">
        <v>25.974949971148142</v>
      </c>
      <c r="J105" s="85">
        <v>16.043340884024001</v>
      </c>
      <c r="K105" s="85">
        <v>12.379720957087239</v>
      </c>
      <c r="L105" s="85">
        <v>18.336773767986784</v>
      </c>
      <c r="M105" s="85">
        <v>33.981115818622868</v>
      </c>
      <c r="N105" s="85">
        <v>10.939181559927823</v>
      </c>
      <c r="O105" s="85">
        <v>12.802454347393835</v>
      </c>
      <c r="P105" s="85">
        <v>7.1002707437986663</v>
      </c>
      <c r="Q105" s="85">
        <v>12.10015372972992</v>
      </c>
      <c r="R105" s="85">
        <v>4.7400500325400463</v>
      </c>
      <c r="S105" s="85">
        <v>47.766627300349228</v>
      </c>
      <c r="T105" s="85">
        <v>44.940300384961283</v>
      </c>
      <c r="U105" s="86">
        <v>7.2930723146893328</v>
      </c>
    </row>
    <row r="106" spans="2:21" ht="23.25" thickBot="1">
      <c r="B106" s="203"/>
      <c r="C106" s="87" t="s">
        <v>137</v>
      </c>
      <c r="D106" s="88">
        <v>53.332323718492248</v>
      </c>
      <c r="E106" s="88">
        <v>46.667676281507781</v>
      </c>
      <c r="F106" s="88">
        <v>13.030924739038067</v>
      </c>
      <c r="G106" s="88">
        <v>21.914480006693854</v>
      </c>
      <c r="H106" s="88">
        <v>20.327913482867938</v>
      </c>
      <c r="I106" s="88">
        <v>14.743262733076062</v>
      </c>
      <c r="J106" s="88">
        <v>16.223595662796484</v>
      </c>
      <c r="K106" s="88">
        <v>13.75982337552766</v>
      </c>
      <c r="L106" s="88">
        <v>17.725623292950026</v>
      </c>
      <c r="M106" s="88">
        <v>31.176770694762268</v>
      </c>
      <c r="N106" s="88">
        <v>6.8338517870023097</v>
      </c>
      <c r="O106" s="88">
        <v>10.065890599664355</v>
      </c>
      <c r="P106" s="88">
        <v>11.230966694113738</v>
      </c>
      <c r="Q106" s="88">
        <v>20.121978297354936</v>
      </c>
      <c r="R106" s="88">
        <v>2.8449186341524615</v>
      </c>
      <c r="S106" s="88">
        <v>13.47897671617017</v>
      </c>
      <c r="T106" s="88">
        <v>65.852578591377124</v>
      </c>
      <c r="U106" s="89">
        <v>20.668444692452709</v>
      </c>
    </row>
    <row r="107" spans="2:21">
      <c r="D107" s="90">
        <f>D106-D105</f>
        <v>4.7205053360123657</v>
      </c>
      <c r="E107" s="90">
        <f t="shared" ref="E107:U107" si="2">E106-E105</f>
        <v>-4.7205053360122022</v>
      </c>
      <c r="F107" s="90">
        <f t="shared" si="2"/>
        <v>2.6343288161041176</v>
      </c>
      <c r="G107" s="90">
        <f t="shared" si="2"/>
        <v>9.0517700701600834</v>
      </c>
      <c r="H107" s="90">
        <f t="shared" si="2"/>
        <v>-2.0147688454048307</v>
      </c>
      <c r="I107" s="90">
        <f t="shared" si="2"/>
        <v>-11.23168723807208</v>
      </c>
      <c r="J107" s="90">
        <f t="shared" si="2"/>
        <v>0.18025477877248264</v>
      </c>
      <c r="K107" s="90">
        <f t="shared" si="2"/>
        <v>1.3801024184404209</v>
      </c>
      <c r="L107" s="90">
        <f t="shared" si="2"/>
        <v>-0.61115047503675868</v>
      </c>
      <c r="M107" s="90">
        <f t="shared" si="2"/>
        <v>-2.8043451238605996</v>
      </c>
      <c r="N107" s="90">
        <f t="shared" si="2"/>
        <v>-4.1053297729255132</v>
      </c>
      <c r="O107" s="90">
        <f t="shared" si="2"/>
        <v>-2.7365637477294804</v>
      </c>
      <c r="P107" s="90">
        <f t="shared" si="2"/>
        <v>4.1306959503150713</v>
      </c>
      <c r="Q107" s="90">
        <f t="shared" si="2"/>
        <v>8.0218245676250159</v>
      </c>
      <c r="R107" s="90">
        <f t="shared" si="2"/>
        <v>-1.8951313983875848</v>
      </c>
      <c r="S107" s="90">
        <f t="shared" si="2"/>
        <v>-34.287650584179062</v>
      </c>
      <c r="T107" s="90">
        <f t="shared" si="2"/>
        <v>20.912278206415841</v>
      </c>
      <c r="U107" s="90">
        <f t="shared" si="2"/>
        <v>13.375372377763377</v>
      </c>
    </row>
    <row r="109" spans="2:21">
      <c r="C109" s="94"/>
      <c r="D109" s="94"/>
      <c r="E109" s="94" t="s">
        <v>141</v>
      </c>
      <c r="F109" s="94" t="s">
        <v>142</v>
      </c>
    </row>
    <row r="110" spans="2:21">
      <c r="C110" s="206" t="s">
        <v>83</v>
      </c>
      <c r="D110" s="91" t="s">
        <v>125</v>
      </c>
      <c r="E110" s="92">
        <v>48.611818382479882</v>
      </c>
      <c r="F110" s="92">
        <v>53.332323718492248</v>
      </c>
      <c r="G110" s="93">
        <f t="shared" ref="G110:G127" si="3">F110-E110</f>
        <v>4.7205053360123657</v>
      </c>
    </row>
    <row r="111" spans="2:21">
      <c r="C111" s="206"/>
      <c r="D111" s="91" t="s">
        <v>126</v>
      </c>
      <c r="E111" s="92">
        <v>51.388181617519983</v>
      </c>
      <c r="F111" s="92">
        <v>46.667676281507781</v>
      </c>
      <c r="G111" s="93">
        <f t="shared" si="3"/>
        <v>-4.7205053360122022</v>
      </c>
    </row>
    <row r="112" spans="2:21">
      <c r="C112" s="207" t="s">
        <v>138</v>
      </c>
      <c r="D112" s="91" t="s">
        <v>127</v>
      </c>
      <c r="E112" s="92">
        <v>10.396595922933949</v>
      </c>
      <c r="F112" s="92">
        <v>13.030924739038067</v>
      </c>
      <c r="G112" s="93">
        <f t="shared" si="3"/>
        <v>2.6343288161041176</v>
      </c>
    </row>
    <row r="113" spans="3:7">
      <c r="C113" s="206"/>
      <c r="D113" s="91" t="s">
        <v>128</v>
      </c>
      <c r="E113" s="92">
        <v>12.86270993653377</v>
      </c>
      <c r="F113" s="92">
        <v>21.914480006693854</v>
      </c>
      <c r="G113" s="93">
        <f t="shared" si="3"/>
        <v>9.0517700701600834</v>
      </c>
    </row>
    <row r="114" spans="3:7">
      <c r="C114" s="206"/>
      <c r="D114" s="91" t="s">
        <v>129</v>
      </c>
      <c r="E114" s="92">
        <v>22.342682328272769</v>
      </c>
      <c r="F114" s="92">
        <v>20.327913482867938</v>
      </c>
      <c r="G114" s="93">
        <f t="shared" si="3"/>
        <v>-2.0147688454048307</v>
      </c>
    </row>
    <row r="115" spans="3:7">
      <c r="C115" s="206"/>
      <c r="D115" s="91" t="s">
        <v>130</v>
      </c>
      <c r="E115" s="92">
        <v>25.974949971148142</v>
      </c>
      <c r="F115" s="92">
        <v>14.743262733076062</v>
      </c>
      <c r="G115" s="93">
        <f t="shared" si="3"/>
        <v>-11.23168723807208</v>
      </c>
    </row>
    <row r="116" spans="3:7">
      <c r="C116" s="206"/>
      <c r="D116" s="91" t="s">
        <v>131</v>
      </c>
      <c r="E116" s="92">
        <v>16.043340884024001</v>
      </c>
      <c r="F116" s="92">
        <v>16.223595662796484</v>
      </c>
      <c r="G116" s="93">
        <f t="shared" si="3"/>
        <v>0.18025477877248264</v>
      </c>
    </row>
    <row r="117" spans="3:7">
      <c r="C117" s="206"/>
      <c r="D117" s="91" t="s">
        <v>132</v>
      </c>
      <c r="E117" s="92">
        <v>12.379720957087239</v>
      </c>
      <c r="F117" s="92">
        <v>13.75982337552766</v>
      </c>
      <c r="G117" s="93">
        <f t="shared" si="3"/>
        <v>1.3801024184404209</v>
      </c>
    </row>
    <row r="118" spans="3:7">
      <c r="C118" s="207" t="s">
        <v>139</v>
      </c>
      <c r="D118" s="91" t="s">
        <v>94</v>
      </c>
      <c r="E118" s="92">
        <v>18.336773767986784</v>
      </c>
      <c r="F118" s="92">
        <v>17.725623292950026</v>
      </c>
      <c r="G118" s="93">
        <f t="shared" si="3"/>
        <v>-0.61115047503675868</v>
      </c>
    </row>
    <row r="119" spans="3:7">
      <c r="C119" s="206"/>
      <c r="D119" s="91" t="s">
        <v>113</v>
      </c>
      <c r="E119" s="92">
        <v>33.981115818622868</v>
      </c>
      <c r="F119" s="92">
        <v>31.176770694762268</v>
      </c>
      <c r="G119" s="93">
        <f t="shared" si="3"/>
        <v>-2.8043451238605996</v>
      </c>
    </row>
    <row r="120" spans="3:7" ht="22.5">
      <c r="C120" s="206"/>
      <c r="D120" s="91" t="s">
        <v>133</v>
      </c>
      <c r="E120" s="92">
        <v>10.939181559927823</v>
      </c>
      <c r="F120" s="92">
        <v>6.8338517870023097</v>
      </c>
      <c r="G120" s="93">
        <f t="shared" si="3"/>
        <v>-4.1053297729255132</v>
      </c>
    </row>
    <row r="121" spans="3:7" ht="22.5">
      <c r="C121" s="206"/>
      <c r="D121" s="91" t="s">
        <v>116</v>
      </c>
      <c r="E121" s="92">
        <v>12.802454347393835</v>
      </c>
      <c r="F121" s="92">
        <v>10.065890599664355</v>
      </c>
      <c r="G121" s="93">
        <f t="shared" si="3"/>
        <v>-2.7365637477294804</v>
      </c>
    </row>
    <row r="122" spans="3:7">
      <c r="C122" s="206"/>
      <c r="D122" s="91" t="s">
        <v>118</v>
      </c>
      <c r="E122" s="92">
        <v>7.1002707437986663</v>
      </c>
      <c r="F122" s="92">
        <v>11.230966694113738</v>
      </c>
      <c r="G122" s="93">
        <f t="shared" si="3"/>
        <v>4.1306959503150713</v>
      </c>
    </row>
    <row r="123" spans="3:7" ht="22.5">
      <c r="C123" s="206"/>
      <c r="D123" s="91" t="s">
        <v>120</v>
      </c>
      <c r="E123" s="92">
        <v>12.10015372972992</v>
      </c>
      <c r="F123" s="92">
        <v>20.121978297354936</v>
      </c>
      <c r="G123" s="93">
        <f t="shared" si="3"/>
        <v>8.0218245676250159</v>
      </c>
    </row>
    <row r="124" spans="3:7">
      <c r="C124" s="206"/>
      <c r="D124" s="91" t="s">
        <v>122</v>
      </c>
      <c r="E124" s="92">
        <v>4.7400500325400463</v>
      </c>
      <c r="F124" s="92">
        <v>2.8449186341524615</v>
      </c>
      <c r="G124" s="93">
        <f t="shared" si="3"/>
        <v>-1.8951313983875848</v>
      </c>
    </row>
    <row r="125" spans="3:7">
      <c r="C125" s="207" t="s">
        <v>140</v>
      </c>
      <c r="D125" s="91" t="s">
        <v>34</v>
      </c>
      <c r="E125" s="92">
        <v>47.766627300349228</v>
      </c>
      <c r="F125" s="92">
        <v>13.47897671617017</v>
      </c>
      <c r="G125" s="93">
        <f t="shared" si="3"/>
        <v>-34.287650584179062</v>
      </c>
    </row>
    <row r="126" spans="3:7">
      <c r="C126" s="206"/>
      <c r="D126" s="91" t="s">
        <v>35</v>
      </c>
      <c r="E126" s="92">
        <v>44.940300384961283</v>
      </c>
      <c r="F126" s="92">
        <v>65.852578591377124</v>
      </c>
      <c r="G126" s="93">
        <f t="shared" si="3"/>
        <v>20.912278206415841</v>
      </c>
    </row>
    <row r="127" spans="3:7">
      <c r="C127" s="206"/>
      <c r="D127" s="91" t="s">
        <v>36</v>
      </c>
      <c r="E127" s="92">
        <v>7.2930723146893328</v>
      </c>
      <c r="F127" s="92">
        <v>20.668444692452709</v>
      </c>
      <c r="G127" s="93">
        <f t="shared" si="3"/>
        <v>13.375372377763377</v>
      </c>
    </row>
    <row r="138" spans="2:13" ht="17.25" thickBot="1"/>
    <row r="139" spans="2:13" ht="17.25" thickTop="1">
      <c r="B139" s="261"/>
      <c r="C139" s="226"/>
      <c r="D139" s="228" t="s">
        <v>245</v>
      </c>
      <c r="E139" s="16" t="s">
        <v>246</v>
      </c>
      <c r="F139" s="16" t="s">
        <v>265</v>
      </c>
      <c r="G139" s="16" t="s">
        <v>267</v>
      </c>
      <c r="H139" s="16" t="s">
        <v>246</v>
      </c>
      <c r="I139" s="16" t="s">
        <v>269</v>
      </c>
      <c r="J139" s="230" t="s">
        <v>168</v>
      </c>
      <c r="K139" s="230" t="s">
        <v>81</v>
      </c>
      <c r="L139" s="232" t="s">
        <v>249</v>
      </c>
      <c r="M139" s="268" t="s">
        <v>250</v>
      </c>
    </row>
    <row r="140" spans="2:13">
      <c r="B140" s="262"/>
      <c r="C140" s="263"/>
      <c r="D140" s="265"/>
      <c r="E140" s="114" t="s">
        <v>263</v>
      </c>
      <c r="F140" s="114" t="s">
        <v>266</v>
      </c>
      <c r="G140" s="114" t="s">
        <v>266</v>
      </c>
      <c r="H140" s="114" t="s">
        <v>268</v>
      </c>
      <c r="I140" s="114" t="s">
        <v>270</v>
      </c>
      <c r="J140" s="266"/>
      <c r="K140" s="266"/>
      <c r="L140" s="267"/>
      <c r="M140" s="269"/>
    </row>
    <row r="141" spans="2:13" ht="17.25" thickBot="1">
      <c r="B141" s="264"/>
      <c r="C141" s="227"/>
      <c r="D141" s="229"/>
      <c r="E141" s="222" t="s">
        <v>264</v>
      </c>
      <c r="F141" s="249"/>
      <c r="G141" s="249"/>
      <c r="H141" s="222" t="s">
        <v>264</v>
      </c>
      <c r="I141" s="249"/>
      <c r="J141" s="231"/>
      <c r="K141" s="231"/>
      <c r="L141" s="233"/>
      <c r="M141" s="270"/>
    </row>
    <row r="142" spans="2:13" ht="18" thickTop="1" thickBot="1">
      <c r="B142" s="191" t="s">
        <v>82</v>
      </c>
      <c r="C142" s="192"/>
      <c r="D142" s="223">
        <v>-2207</v>
      </c>
      <c r="E142" s="223">
        <v>18.100000000000001</v>
      </c>
      <c r="F142" s="223">
        <v>13.6</v>
      </c>
      <c r="G142" s="223">
        <v>26.4</v>
      </c>
      <c r="H142" s="223">
        <v>36.299999999999997</v>
      </c>
      <c r="I142" s="223">
        <v>5.6</v>
      </c>
      <c r="J142" s="224">
        <v>31.7</v>
      </c>
      <c r="K142" s="224">
        <v>62.7</v>
      </c>
      <c r="L142" s="225">
        <v>2.9</v>
      </c>
      <c r="M142" s="250">
        <v>1.1299999999999999</v>
      </c>
    </row>
    <row r="143" spans="2:13" ht="17.25" thickTop="1">
      <c r="B143" s="193" t="s">
        <v>83</v>
      </c>
      <c r="C143" s="43" t="s">
        <v>84</v>
      </c>
      <c r="D143" s="251">
        <v>-1094</v>
      </c>
      <c r="E143" s="251">
        <v>18.2</v>
      </c>
      <c r="F143" s="251">
        <v>14.9</v>
      </c>
      <c r="G143" s="251">
        <v>25.5</v>
      </c>
      <c r="H143" s="251">
        <v>37</v>
      </c>
      <c r="I143" s="251">
        <v>4.4000000000000004</v>
      </c>
      <c r="J143" s="252">
        <v>33.1</v>
      </c>
      <c r="K143" s="252">
        <v>62.5</v>
      </c>
      <c r="L143" s="253">
        <v>2.9</v>
      </c>
      <c r="M143" s="254">
        <v>1.1299999999999999</v>
      </c>
    </row>
    <row r="144" spans="2:13">
      <c r="B144" s="194"/>
      <c r="C144" s="19" t="s">
        <v>85</v>
      </c>
      <c r="D144" s="44">
        <v>-1113</v>
      </c>
      <c r="E144" s="44">
        <v>18</v>
      </c>
      <c r="F144" s="44">
        <v>12.4</v>
      </c>
      <c r="G144" s="44">
        <v>27.3</v>
      </c>
      <c r="H144" s="44">
        <v>35.5</v>
      </c>
      <c r="I144" s="44">
        <v>6.8</v>
      </c>
      <c r="J144" s="236">
        <v>30.4</v>
      </c>
      <c r="K144" s="236">
        <v>62.8</v>
      </c>
      <c r="L144" s="237">
        <v>2.9</v>
      </c>
      <c r="M144" s="255">
        <v>1.1299999999999999</v>
      </c>
    </row>
    <row r="145" spans="2:13">
      <c r="B145" s="195" t="s">
        <v>86</v>
      </c>
      <c r="C145" s="46" t="s">
        <v>87</v>
      </c>
      <c r="D145" s="256">
        <v>-333</v>
      </c>
      <c r="E145" s="256">
        <v>19.2</v>
      </c>
      <c r="F145" s="256">
        <v>17.600000000000001</v>
      </c>
      <c r="G145" s="256">
        <v>33.799999999999997</v>
      </c>
      <c r="H145" s="256">
        <v>22.2</v>
      </c>
      <c r="I145" s="256">
        <v>7.2</v>
      </c>
      <c r="J145" s="257">
        <v>36.799999999999997</v>
      </c>
      <c r="K145" s="257">
        <v>56.1</v>
      </c>
      <c r="L145" s="258">
        <v>2.6</v>
      </c>
      <c r="M145" s="259">
        <v>1.06</v>
      </c>
    </row>
    <row r="146" spans="2:13">
      <c r="B146" s="196"/>
      <c r="C146" s="47" t="s">
        <v>88</v>
      </c>
      <c r="D146" s="48">
        <v>-331</v>
      </c>
      <c r="E146" s="48">
        <v>14.3</v>
      </c>
      <c r="F146" s="48">
        <v>13.1</v>
      </c>
      <c r="G146" s="48">
        <v>33.299999999999997</v>
      </c>
      <c r="H146" s="48">
        <v>32.1</v>
      </c>
      <c r="I146" s="48">
        <v>7.1</v>
      </c>
      <c r="J146" s="234">
        <v>27.4</v>
      </c>
      <c r="K146" s="234">
        <v>65.5</v>
      </c>
      <c r="L146" s="235">
        <v>2.9</v>
      </c>
      <c r="M146" s="260">
        <v>1.05</v>
      </c>
    </row>
    <row r="147" spans="2:13">
      <c r="B147" s="196"/>
      <c r="C147" s="47" t="s">
        <v>89</v>
      </c>
      <c r="D147" s="48">
        <v>-378</v>
      </c>
      <c r="E147" s="48">
        <v>11.8</v>
      </c>
      <c r="F147" s="48">
        <v>5.9</v>
      </c>
      <c r="G147" s="48">
        <v>32.700000000000003</v>
      </c>
      <c r="H147" s="48">
        <v>46</v>
      </c>
      <c r="I147" s="48">
        <v>3.7</v>
      </c>
      <c r="J147" s="234">
        <v>17.600000000000001</v>
      </c>
      <c r="K147" s="234">
        <v>78.7</v>
      </c>
      <c r="L147" s="235">
        <v>3.2</v>
      </c>
      <c r="M147" s="260">
        <v>1</v>
      </c>
    </row>
    <row r="148" spans="2:13">
      <c r="B148" s="196"/>
      <c r="C148" s="47" t="s">
        <v>90</v>
      </c>
      <c r="D148" s="48">
        <v>-431</v>
      </c>
      <c r="E148" s="48">
        <v>16.399999999999999</v>
      </c>
      <c r="F148" s="48">
        <v>8.1999999999999993</v>
      </c>
      <c r="G148" s="48">
        <v>21.8</v>
      </c>
      <c r="H148" s="48">
        <v>50.8</v>
      </c>
      <c r="I148" s="48">
        <v>2.8</v>
      </c>
      <c r="J148" s="234">
        <v>24.6</v>
      </c>
      <c r="K148" s="234">
        <v>72.599999999999994</v>
      </c>
      <c r="L148" s="235">
        <v>3.1</v>
      </c>
      <c r="M148" s="260">
        <v>1.1299999999999999</v>
      </c>
    </row>
    <row r="149" spans="2:13">
      <c r="B149" s="196"/>
      <c r="C149" s="47" t="s">
        <v>91</v>
      </c>
      <c r="D149" s="48">
        <v>-392</v>
      </c>
      <c r="E149" s="48">
        <v>24.2</v>
      </c>
      <c r="F149" s="48">
        <v>17.3</v>
      </c>
      <c r="G149" s="48">
        <v>17.8</v>
      </c>
      <c r="H149" s="48">
        <v>36.1</v>
      </c>
      <c r="I149" s="48">
        <v>4.7</v>
      </c>
      <c r="J149" s="234">
        <v>41.4</v>
      </c>
      <c r="K149" s="234">
        <v>53.9</v>
      </c>
      <c r="L149" s="235">
        <v>2.7</v>
      </c>
      <c r="M149" s="260">
        <v>1.22</v>
      </c>
    </row>
    <row r="150" spans="2:13">
      <c r="B150" s="194"/>
      <c r="C150" s="49" t="s">
        <v>92</v>
      </c>
      <c r="D150" s="44">
        <v>-342</v>
      </c>
      <c r="E150" s="44">
        <v>23</v>
      </c>
      <c r="F150" s="44">
        <v>21.6</v>
      </c>
      <c r="G150" s="44">
        <v>21.2</v>
      </c>
      <c r="H150" s="44">
        <v>25.1</v>
      </c>
      <c r="I150" s="44">
        <v>9.1</v>
      </c>
      <c r="J150" s="236">
        <v>44.6</v>
      </c>
      <c r="K150" s="236">
        <v>46.3</v>
      </c>
      <c r="L150" s="237">
        <v>2.5</v>
      </c>
      <c r="M150" s="255">
        <v>1.1399999999999999</v>
      </c>
    </row>
    <row r="151" spans="2:13">
      <c r="B151" s="195" t="s">
        <v>93</v>
      </c>
      <c r="C151" s="50" t="s">
        <v>94</v>
      </c>
      <c r="D151" s="256">
        <v>-412</v>
      </c>
      <c r="E151" s="256">
        <v>18.3</v>
      </c>
      <c r="F151" s="256">
        <v>13.7</v>
      </c>
      <c r="G151" s="256">
        <v>26.3</v>
      </c>
      <c r="H151" s="256">
        <v>35.4</v>
      </c>
      <c r="I151" s="256">
        <v>6.2</v>
      </c>
      <c r="J151" s="257">
        <v>32</v>
      </c>
      <c r="K151" s="257">
        <v>61.8</v>
      </c>
      <c r="L151" s="258">
        <v>2.8</v>
      </c>
      <c r="M151" s="259">
        <v>1.1299999999999999</v>
      </c>
    </row>
    <row r="152" spans="2:13">
      <c r="B152" s="196"/>
      <c r="C152" s="18" t="s">
        <v>271</v>
      </c>
      <c r="D152" s="48">
        <v>-715</v>
      </c>
      <c r="E152" s="48">
        <v>18</v>
      </c>
      <c r="F152" s="48">
        <v>12</v>
      </c>
      <c r="G152" s="48">
        <v>27.3</v>
      </c>
      <c r="H152" s="48">
        <v>37.9</v>
      </c>
      <c r="I152" s="48">
        <v>4.9000000000000004</v>
      </c>
      <c r="J152" s="234">
        <v>29.9</v>
      </c>
      <c r="K152" s="234">
        <v>65.2</v>
      </c>
      <c r="L152" s="235">
        <v>2.9</v>
      </c>
      <c r="M152" s="260">
        <v>1.1299999999999999</v>
      </c>
    </row>
    <row r="153" spans="2:13" ht="24">
      <c r="B153" s="196"/>
      <c r="C153" s="18" t="s">
        <v>272</v>
      </c>
      <c r="D153" s="48">
        <v>-237</v>
      </c>
      <c r="E153" s="48">
        <v>24.3</v>
      </c>
      <c r="F153" s="48">
        <v>17.5</v>
      </c>
      <c r="G153" s="48">
        <v>21.2</v>
      </c>
      <c r="H153" s="48">
        <v>32.200000000000003</v>
      </c>
      <c r="I153" s="48">
        <v>4.8</v>
      </c>
      <c r="J153" s="234">
        <v>41.8</v>
      </c>
      <c r="K153" s="234">
        <v>53.4</v>
      </c>
      <c r="L153" s="235">
        <v>2.6</v>
      </c>
      <c r="M153" s="260">
        <v>1.19</v>
      </c>
    </row>
    <row r="154" spans="2:13" ht="24">
      <c r="B154" s="196"/>
      <c r="C154" s="18" t="s">
        <v>273</v>
      </c>
      <c r="D154" s="48">
        <v>-211</v>
      </c>
      <c r="E154" s="48">
        <v>11.4</v>
      </c>
      <c r="F154" s="48">
        <v>3.6</v>
      </c>
      <c r="G154" s="48">
        <v>22.5</v>
      </c>
      <c r="H154" s="48">
        <v>56.1</v>
      </c>
      <c r="I154" s="48">
        <v>6.5</v>
      </c>
      <c r="J154" s="234">
        <v>14.9</v>
      </c>
      <c r="K154" s="234">
        <v>78.599999999999994</v>
      </c>
      <c r="L154" s="235">
        <v>3.3</v>
      </c>
      <c r="M154" s="260">
        <v>1.01</v>
      </c>
    </row>
    <row r="155" spans="2:13">
      <c r="B155" s="196"/>
      <c r="C155" s="18" t="s">
        <v>274</v>
      </c>
      <c r="D155" s="48">
        <v>-211</v>
      </c>
      <c r="E155" s="48">
        <v>21.4</v>
      </c>
      <c r="F155" s="48">
        <v>20.8</v>
      </c>
      <c r="G155" s="48">
        <v>29.3</v>
      </c>
      <c r="H155" s="48">
        <v>23.5</v>
      </c>
      <c r="I155" s="48">
        <v>5</v>
      </c>
      <c r="J155" s="234">
        <v>42.2</v>
      </c>
      <c r="K155" s="234">
        <v>52.9</v>
      </c>
      <c r="L155" s="235">
        <v>2.6</v>
      </c>
      <c r="M155" s="260">
        <v>1.0900000000000001</v>
      </c>
    </row>
    <row r="156" spans="2:13" ht="24">
      <c r="B156" s="196"/>
      <c r="C156" s="18" t="s">
        <v>275</v>
      </c>
      <c r="D156" s="48">
        <v>-327</v>
      </c>
      <c r="E156" s="48">
        <v>18.2</v>
      </c>
      <c r="F156" s="48">
        <v>16.3</v>
      </c>
      <c r="G156" s="48">
        <v>28.2</v>
      </c>
      <c r="H156" s="48">
        <v>29.8</v>
      </c>
      <c r="I156" s="48">
        <v>7.4</v>
      </c>
      <c r="J156" s="234">
        <v>34.6</v>
      </c>
      <c r="K156" s="234">
        <v>58.1</v>
      </c>
      <c r="L156" s="235">
        <v>2.8</v>
      </c>
      <c r="M156" s="260">
        <v>1.1100000000000001</v>
      </c>
    </row>
    <row r="157" spans="2:13">
      <c r="B157" s="194"/>
      <c r="C157" s="19" t="s">
        <v>276</v>
      </c>
      <c r="D157" s="44">
        <v>-94</v>
      </c>
      <c r="E157" s="44">
        <v>10.1</v>
      </c>
      <c r="F157" s="44">
        <v>13.2</v>
      </c>
      <c r="G157" s="44">
        <v>28.8</v>
      </c>
      <c r="H157" s="44">
        <v>44.5</v>
      </c>
      <c r="I157" s="44">
        <v>3.3</v>
      </c>
      <c r="J157" s="236">
        <v>23.3</v>
      </c>
      <c r="K157" s="236">
        <v>73.400000000000006</v>
      </c>
      <c r="L157" s="237">
        <v>3.1</v>
      </c>
      <c r="M157" s="255">
        <v>1.01</v>
      </c>
    </row>
    <row r="158" spans="2:13">
      <c r="B158" s="45" t="s">
        <v>95</v>
      </c>
      <c r="C158" s="50" t="s">
        <v>34</v>
      </c>
      <c r="D158" s="256">
        <v>-594</v>
      </c>
      <c r="E158" s="256">
        <v>3.7</v>
      </c>
      <c r="F158" s="256">
        <v>1.4</v>
      </c>
      <c r="G158" s="256">
        <v>23.6</v>
      </c>
      <c r="H158" s="256">
        <v>70.5</v>
      </c>
      <c r="I158" s="256">
        <v>0.8</v>
      </c>
      <c r="J158" s="257">
        <v>5.0999999999999996</v>
      </c>
      <c r="K158" s="257">
        <v>94.1</v>
      </c>
      <c r="L158" s="258">
        <v>3.6</v>
      </c>
      <c r="M158" s="259">
        <v>0.7</v>
      </c>
    </row>
    <row r="159" spans="2:13">
      <c r="B159" s="52" t="s">
        <v>96</v>
      </c>
      <c r="C159" s="18" t="s">
        <v>35</v>
      </c>
      <c r="D159" s="48">
        <v>-1000</v>
      </c>
      <c r="E159" s="48">
        <v>11.2</v>
      </c>
      <c r="F159" s="48">
        <v>13.5</v>
      </c>
      <c r="G159" s="48">
        <v>35.6</v>
      </c>
      <c r="H159" s="48">
        <v>32</v>
      </c>
      <c r="I159" s="48">
        <v>7.7</v>
      </c>
      <c r="J159" s="234">
        <v>24.7</v>
      </c>
      <c r="K159" s="234">
        <v>67.7</v>
      </c>
      <c r="L159" s="235">
        <v>3</v>
      </c>
      <c r="M159" s="260">
        <v>0.99</v>
      </c>
    </row>
    <row r="160" spans="2:13">
      <c r="B160" s="53"/>
      <c r="C160" s="19" t="s">
        <v>36</v>
      </c>
      <c r="D160" s="44">
        <v>-613</v>
      </c>
      <c r="E160" s="44">
        <v>43.4</v>
      </c>
      <c r="F160" s="44">
        <v>25.8</v>
      </c>
      <c r="G160" s="44">
        <v>14.1</v>
      </c>
      <c r="H160" s="44">
        <v>10</v>
      </c>
      <c r="I160" s="44">
        <v>6.8</v>
      </c>
      <c r="J160" s="236">
        <v>69.2</v>
      </c>
      <c r="K160" s="236">
        <v>24.1</v>
      </c>
      <c r="L160" s="237">
        <v>1.9</v>
      </c>
      <c r="M160" s="255">
        <v>1.02</v>
      </c>
    </row>
    <row r="161" spans="2:15">
      <c r="B161" s="45" t="s">
        <v>32</v>
      </c>
      <c r="C161" s="50" t="s">
        <v>277</v>
      </c>
      <c r="D161" s="256">
        <v>-1059</v>
      </c>
      <c r="E161" s="256">
        <v>2.2999999999999998</v>
      </c>
      <c r="F161" s="256">
        <v>0.7</v>
      </c>
      <c r="G161" s="256">
        <v>29.3</v>
      </c>
      <c r="H161" s="256">
        <v>66.5</v>
      </c>
      <c r="I161" s="256">
        <v>1.2</v>
      </c>
      <c r="J161" s="257">
        <v>3</v>
      </c>
      <c r="K161" s="257">
        <v>95.8</v>
      </c>
      <c r="L161" s="258">
        <v>3.6</v>
      </c>
      <c r="M161" s="259">
        <v>0.62</v>
      </c>
    </row>
    <row r="162" spans="2:15">
      <c r="B162" s="52" t="s">
        <v>97</v>
      </c>
      <c r="C162" s="18" t="s">
        <v>27</v>
      </c>
      <c r="D162" s="48">
        <v>-650</v>
      </c>
      <c r="E162" s="48">
        <v>44.7</v>
      </c>
      <c r="F162" s="48">
        <v>32.5</v>
      </c>
      <c r="G162" s="48">
        <v>13.6</v>
      </c>
      <c r="H162" s="48">
        <v>1.5</v>
      </c>
      <c r="I162" s="48">
        <v>7.7</v>
      </c>
      <c r="J162" s="234">
        <v>77.2</v>
      </c>
      <c r="K162" s="234">
        <v>15.1</v>
      </c>
      <c r="L162" s="235">
        <v>1.7</v>
      </c>
      <c r="M162" s="260">
        <v>0.78</v>
      </c>
    </row>
    <row r="163" spans="2:15">
      <c r="B163" s="54"/>
      <c r="C163" s="18" t="s">
        <v>28</v>
      </c>
      <c r="D163" s="48">
        <v>-96</v>
      </c>
      <c r="E163" s="48">
        <v>0.9</v>
      </c>
      <c r="F163" s="48">
        <v>0.7</v>
      </c>
      <c r="G163" s="48">
        <v>31.4</v>
      </c>
      <c r="H163" s="48">
        <v>64</v>
      </c>
      <c r="I163" s="48">
        <v>3</v>
      </c>
      <c r="J163" s="234">
        <v>1.6</v>
      </c>
      <c r="K163" s="234">
        <v>95.4</v>
      </c>
      <c r="L163" s="235">
        <v>3.6</v>
      </c>
      <c r="M163" s="260">
        <v>0.55000000000000004</v>
      </c>
    </row>
    <row r="164" spans="2:15">
      <c r="B164" s="54"/>
      <c r="C164" s="18" t="s">
        <v>29</v>
      </c>
      <c r="D164" s="48">
        <v>-19</v>
      </c>
      <c r="E164" s="48">
        <v>0</v>
      </c>
      <c r="F164" s="48">
        <v>0</v>
      </c>
      <c r="G164" s="48">
        <v>70.5</v>
      </c>
      <c r="H164" s="48">
        <v>18.7</v>
      </c>
      <c r="I164" s="48">
        <v>10.9</v>
      </c>
      <c r="J164" s="234">
        <v>0</v>
      </c>
      <c r="K164" s="234">
        <v>89.1</v>
      </c>
      <c r="L164" s="235">
        <v>3.2</v>
      </c>
      <c r="M164" s="260">
        <v>0.42</v>
      </c>
    </row>
    <row r="165" spans="2:15">
      <c r="B165" s="54"/>
      <c r="C165" s="18" t="s">
        <v>30</v>
      </c>
      <c r="D165" s="48">
        <v>-117</v>
      </c>
      <c r="E165" s="48">
        <v>15.9</v>
      </c>
      <c r="F165" s="48">
        <v>33.1</v>
      </c>
      <c r="G165" s="48">
        <v>36.9</v>
      </c>
      <c r="H165" s="48">
        <v>2.7</v>
      </c>
      <c r="I165" s="48">
        <v>11.4</v>
      </c>
      <c r="J165" s="234">
        <v>49</v>
      </c>
      <c r="K165" s="234">
        <v>39.5</v>
      </c>
      <c r="L165" s="235">
        <v>2.2999999999999998</v>
      </c>
      <c r="M165" s="260">
        <v>0.8</v>
      </c>
    </row>
    <row r="166" spans="2:15">
      <c r="B166" s="54"/>
      <c r="C166" s="18" t="s">
        <v>278</v>
      </c>
      <c r="D166" s="48">
        <v>-58</v>
      </c>
      <c r="E166" s="48">
        <v>51</v>
      </c>
      <c r="F166" s="48">
        <v>1.8</v>
      </c>
      <c r="G166" s="48">
        <v>23.5</v>
      </c>
      <c r="H166" s="48">
        <v>19.7</v>
      </c>
      <c r="I166" s="48">
        <v>4</v>
      </c>
      <c r="J166" s="234">
        <v>52.8</v>
      </c>
      <c r="K166" s="234">
        <v>43.2</v>
      </c>
      <c r="L166" s="235">
        <v>2.1</v>
      </c>
      <c r="M166" s="260">
        <v>1.27</v>
      </c>
    </row>
    <row r="167" spans="2:15">
      <c r="B167" s="54"/>
      <c r="C167" s="18" t="s">
        <v>279</v>
      </c>
      <c r="D167" s="48">
        <v>-161</v>
      </c>
      <c r="E167" s="48">
        <v>17.5</v>
      </c>
      <c r="F167" s="48">
        <v>20.399999999999999</v>
      </c>
      <c r="G167" s="48">
        <v>39.6</v>
      </c>
      <c r="H167" s="48">
        <v>2.9</v>
      </c>
      <c r="I167" s="48">
        <v>19.600000000000001</v>
      </c>
      <c r="J167" s="234">
        <v>37.9</v>
      </c>
      <c r="K167" s="234">
        <v>42.5</v>
      </c>
      <c r="L167" s="235">
        <v>2.2999999999999998</v>
      </c>
      <c r="M167" s="260">
        <v>0.86</v>
      </c>
      <c r="O167">
        <f>(D167*K167+D168*K168)/(D167+D168)</f>
        <v>43.810576923076923</v>
      </c>
    </row>
    <row r="168" spans="2:15">
      <c r="B168" s="53"/>
      <c r="C168" s="19" t="s">
        <v>69</v>
      </c>
      <c r="D168" s="44">
        <v>-47</v>
      </c>
      <c r="E168" s="44">
        <v>16.600000000000001</v>
      </c>
      <c r="F168" s="44">
        <v>17.600000000000001</v>
      </c>
      <c r="G168" s="44">
        <v>43.6</v>
      </c>
      <c r="H168" s="44">
        <v>4.7</v>
      </c>
      <c r="I168" s="44">
        <v>17.600000000000001</v>
      </c>
      <c r="J168" s="236">
        <v>34.200000000000003</v>
      </c>
      <c r="K168" s="236">
        <v>48.3</v>
      </c>
      <c r="L168" s="237">
        <v>2.4</v>
      </c>
      <c r="M168" s="255">
        <v>0.88</v>
      </c>
    </row>
  </sheetData>
  <mergeCells count="36">
    <mergeCell ref="M139:M141"/>
    <mergeCell ref="B142:C142"/>
    <mergeCell ref="B143:B144"/>
    <mergeCell ref="B145:B150"/>
    <mergeCell ref="B151:B157"/>
    <mergeCell ref="B139:C141"/>
    <mergeCell ref="D139:D141"/>
    <mergeCell ref="J139:J141"/>
    <mergeCell ref="K139:K141"/>
    <mergeCell ref="L139:L141"/>
    <mergeCell ref="C110:C111"/>
    <mergeCell ref="C112:C117"/>
    <mergeCell ref="C118:C124"/>
    <mergeCell ref="C125:C127"/>
    <mergeCell ref="I68:I69"/>
    <mergeCell ref="I70:I75"/>
    <mergeCell ref="I76:I82"/>
    <mergeCell ref="I83:I85"/>
    <mergeCell ref="B102:C103"/>
    <mergeCell ref="F102:K102"/>
    <mergeCell ref="C68:D68"/>
    <mergeCell ref="C69:C70"/>
    <mergeCell ref="C71:C76"/>
    <mergeCell ref="C77:C83"/>
    <mergeCell ref="L102:R102"/>
    <mergeCell ref="S102:U102"/>
    <mergeCell ref="B105:B106"/>
    <mergeCell ref="D102:E102"/>
    <mergeCell ref="C84:C86"/>
    <mergeCell ref="C87:C94"/>
    <mergeCell ref="C67:D67"/>
    <mergeCell ref="A2:B2"/>
    <mergeCell ref="A3:B3"/>
    <mergeCell ref="A4:A5"/>
    <mergeCell ref="A6:A11"/>
    <mergeCell ref="A12:A18"/>
  </mergeCells>
  <phoneticPr fontId="6" type="noConversion"/>
  <conditionalFormatting sqref="G68:G94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{052141CA-C07D-4EFF-8E0D-B92A8E3BAD49}</x14:id>
        </ext>
      </extLst>
    </cfRule>
  </conditionalFormatting>
  <conditionalFormatting sqref="G110:G127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{3F419D37-AE2A-461C-AFF8-7A226C9CCDE7}</x14:id>
        </ext>
      </extLst>
    </cfRule>
  </conditionalFormatting>
  <conditionalFormatting sqref="H68:H94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{8CDF69BA-D5EE-4C54-A4A0-BC07B73EAFFF}</x14:id>
        </ext>
      </extLst>
    </cfRule>
  </conditionalFormatting>
  <conditionalFormatting sqref="M68:M85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{F05A02ED-C0CD-45DC-9BA9-429114FCB440}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52141CA-C07D-4EFF-8E0D-B92A8E3BAD4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G68:G94</xm:sqref>
        </x14:conditionalFormatting>
        <x14:conditionalFormatting xmlns:xm="http://schemas.microsoft.com/office/excel/2006/main">
          <x14:cfRule type="dataBar" id="{3F419D37-AE2A-461C-AFF8-7A226C9CCDE7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G110:G127</xm:sqref>
        </x14:conditionalFormatting>
        <x14:conditionalFormatting xmlns:xm="http://schemas.microsoft.com/office/excel/2006/main">
          <x14:cfRule type="dataBar" id="{8CDF69BA-D5EE-4C54-A4A0-BC07B73EAFF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H68:H94</xm:sqref>
        </x14:conditionalFormatting>
        <x14:conditionalFormatting xmlns:xm="http://schemas.microsoft.com/office/excel/2006/main">
          <x14:cfRule type="dataBar" id="{F05A02ED-C0CD-45DC-9BA9-429114FCB44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M68:M85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15C85-9734-4022-9B68-44A374C110E6}">
  <dimension ref="A1:E3"/>
  <sheetViews>
    <sheetView workbookViewId="0">
      <selection activeCell="M21" sqref="M21"/>
    </sheetView>
  </sheetViews>
  <sheetFormatPr defaultRowHeight="16.5"/>
  <sheetData>
    <row r="1" spans="1:5" ht="28.5">
      <c r="A1" s="39"/>
      <c r="B1" s="40" t="s">
        <v>48</v>
      </c>
      <c r="C1" s="40" t="s">
        <v>78</v>
      </c>
    </row>
    <row r="2" spans="1:5">
      <c r="A2" s="40" t="s">
        <v>80</v>
      </c>
      <c r="B2" s="41">
        <v>0.219</v>
      </c>
      <c r="C2" s="41">
        <v>0.78100000000000003</v>
      </c>
      <c r="D2">
        <v>982</v>
      </c>
      <c r="E2">
        <v>275</v>
      </c>
    </row>
    <row r="3" spans="1:5">
      <c r="A3" s="40" t="s">
        <v>79</v>
      </c>
      <c r="B3" s="41">
        <v>0.23100000000000001</v>
      </c>
      <c r="C3" s="41">
        <v>0.76900000000000002</v>
      </c>
      <c r="D3">
        <v>1063</v>
      </c>
      <c r="E3">
        <v>620</v>
      </c>
    </row>
  </sheetData>
  <phoneticPr fontId="6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E8360-465D-4F44-8ECD-30E40F6ABA29}">
  <dimension ref="B2:U116"/>
  <sheetViews>
    <sheetView topLeftCell="D56" workbookViewId="0">
      <selection activeCell="E32" sqref="E32:I58"/>
    </sheetView>
  </sheetViews>
  <sheetFormatPr defaultRowHeight="16.5"/>
  <cols>
    <col min="1" max="2" width="9" style="96"/>
    <col min="3" max="3" width="16" style="96" customWidth="1"/>
    <col min="4" max="4" width="12.25" style="96" customWidth="1"/>
    <col min="5" max="5" width="8.5" style="96" customWidth="1"/>
    <col min="6" max="6" width="14.25" style="96" customWidth="1"/>
    <col min="7" max="9" width="9" style="96"/>
    <col min="10" max="10" width="7.75" style="96" customWidth="1"/>
    <col min="11" max="11" width="14.75" style="96" customWidth="1"/>
    <col min="12" max="15" width="9" style="96"/>
    <col min="16" max="16" width="10" style="96" customWidth="1"/>
    <col min="17" max="17" width="14.5" style="96" customWidth="1"/>
    <col min="18" max="20" width="11.625" style="96" customWidth="1"/>
    <col min="21" max="16384" width="9" style="96"/>
  </cols>
  <sheetData>
    <row r="2" spans="4:10" ht="17.25" customHeight="1">
      <c r="E2" s="129"/>
      <c r="F2" s="129"/>
      <c r="G2" s="129"/>
      <c r="H2" s="129"/>
      <c r="I2" s="129"/>
    </row>
    <row r="3" spans="4:10" ht="21">
      <c r="D3" s="115"/>
      <c r="E3" s="217"/>
      <c r="F3" s="217"/>
      <c r="G3" s="131" t="s">
        <v>225</v>
      </c>
      <c r="H3" s="131" t="s">
        <v>226</v>
      </c>
      <c r="I3" s="131" t="s">
        <v>110</v>
      </c>
      <c r="J3" s="116"/>
    </row>
    <row r="4" spans="4:10" ht="12" customHeight="1">
      <c r="D4" s="115"/>
      <c r="E4" s="218" t="s">
        <v>82</v>
      </c>
      <c r="F4" s="218"/>
      <c r="G4" s="132">
        <v>49.3</v>
      </c>
      <c r="H4" s="132">
        <v>62.2</v>
      </c>
      <c r="I4" s="133">
        <v>12.900000000000006</v>
      </c>
      <c r="J4" s="116"/>
    </row>
    <row r="5" spans="4:10" ht="12" customHeight="1">
      <c r="D5" s="115"/>
      <c r="E5" s="216" t="s">
        <v>83</v>
      </c>
      <c r="F5" s="134" t="s">
        <v>84</v>
      </c>
      <c r="G5" s="135">
        <v>47.2</v>
      </c>
      <c r="H5" s="136">
        <v>62.3</v>
      </c>
      <c r="I5" s="137">
        <v>15.099999999999994</v>
      </c>
      <c r="J5" s="116"/>
    </row>
    <row r="6" spans="4:10" ht="12" customHeight="1">
      <c r="D6" s="115"/>
      <c r="E6" s="216"/>
      <c r="F6" s="134" t="s">
        <v>85</v>
      </c>
      <c r="G6" s="135">
        <v>51.3</v>
      </c>
      <c r="H6" s="136">
        <v>62.2</v>
      </c>
      <c r="I6" s="137">
        <v>10.900000000000006</v>
      </c>
      <c r="J6" s="116"/>
    </row>
    <row r="7" spans="4:10" ht="12" customHeight="1">
      <c r="D7" s="115"/>
      <c r="E7" s="216" t="s">
        <v>86</v>
      </c>
      <c r="F7" s="134" t="s">
        <v>127</v>
      </c>
      <c r="G7" s="135">
        <v>39.5</v>
      </c>
      <c r="H7" s="136">
        <v>45.8</v>
      </c>
      <c r="I7" s="137">
        <v>6.2999999999999972</v>
      </c>
      <c r="J7" s="116"/>
    </row>
    <row r="8" spans="4:10" ht="12" customHeight="1">
      <c r="D8" s="115"/>
      <c r="E8" s="216"/>
      <c r="F8" s="134" t="s">
        <v>128</v>
      </c>
      <c r="G8" s="135">
        <v>42.4</v>
      </c>
      <c r="H8" s="136">
        <v>61.6</v>
      </c>
      <c r="I8" s="137">
        <v>19.200000000000003</v>
      </c>
      <c r="J8" s="116"/>
    </row>
    <row r="9" spans="4:10" ht="12" customHeight="1">
      <c r="D9" s="115"/>
      <c r="E9" s="216"/>
      <c r="F9" s="134" t="s">
        <v>129</v>
      </c>
      <c r="G9" s="135">
        <v>66.400000000000006</v>
      </c>
      <c r="H9" s="136">
        <v>79.3</v>
      </c>
      <c r="I9" s="137">
        <v>12.899999999999991</v>
      </c>
      <c r="J9" s="116"/>
    </row>
    <row r="10" spans="4:10" ht="12" customHeight="1">
      <c r="D10" s="115"/>
      <c r="E10" s="216"/>
      <c r="F10" s="134" t="s">
        <v>130</v>
      </c>
      <c r="G10" s="135">
        <v>65.099999999999994</v>
      </c>
      <c r="H10" s="136">
        <v>75.2</v>
      </c>
      <c r="I10" s="137">
        <v>10.100000000000009</v>
      </c>
      <c r="J10" s="116"/>
    </row>
    <row r="11" spans="4:10" ht="12" customHeight="1">
      <c r="D11" s="115"/>
      <c r="E11" s="216"/>
      <c r="F11" s="134" t="s">
        <v>131</v>
      </c>
      <c r="G11" s="135">
        <v>43.1</v>
      </c>
      <c r="H11" s="136">
        <v>56.3</v>
      </c>
      <c r="I11" s="137">
        <v>13.199999999999996</v>
      </c>
      <c r="J11" s="116"/>
    </row>
    <row r="12" spans="4:10" ht="12" customHeight="1">
      <c r="D12" s="115"/>
      <c r="E12" s="216"/>
      <c r="F12" s="134" t="s">
        <v>132</v>
      </c>
      <c r="G12" s="135">
        <v>33.4</v>
      </c>
      <c r="H12" s="136">
        <v>50.3</v>
      </c>
      <c r="I12" s="137">
        <v>16.899999999999999</v>
      </c>
      <c r="J12" s="116"/>
    </row>
    <row r="13" spans="4:10" ht="12" customHeight="1">
      <c r="D13" s="115"/>
      <c r="E13" s="216" t="s">
        <v>139</v>
      </c>
      <c r="F13" s="134" t="s">
        <v>94</v>
      </c>
      <c r="G13" s="135">
        <v>47.6</v>
      </c>
      <c r="H13" s="136">
        <v>61</v>
      </c>
      <c r="I13" s="137">
        <v>13.399999999999999</v>
      </c>
      <c r="J13" s="116"/>
    </row>
    <row r="14" spans="4:10" ht="12" customHeight="1">
      <c r="D14" s="115"/>
      <c r="E14" s="216"/>
      <c r="F14" s="134" t="s">
        <v>114</v>
      </c>
      <c r="G14" s="135">
        <v>51.2</v>
      </c>
      <c r="H14" s="136">
        <v>64.099999999999994</v>
      </c>
      <c r="I14" s="137">
        <v>12.899999999999991</v>
      </c>
      <c r="J14" s="116"/>
    </row>
    <row r="15" spans="4:10" ht="12" customHeight="1">
      <c r="D15" s="115"/>
      <c r="E15" s="216"/>
      <c r="F15" s="134" t="s">
        <v>148</v>
      </c>
      <c r="G15" s="135">
        <v>49.8</v>
      </c>
      <c r="H15" s="136">
        <v>58.1</v>
      </c>
      <c r="I15" s="137">
        <v>8.3000000000000043</v>
      </c>
      <c r="J15" s="116"/>
    </row>
    <row r="16" spans="4:10" ht="12" customHeight="1">
      <c r="D16" s="115"/>
      <c r="E16" s="216"/>
      <c r="F16" s="134" t="s">
        <v>117</v>
      </c>
      <c r="G16" s="135">
        <v>68.7</v>
      </c>
      <c r="H16" s="136">
        <v>79.099999999999994</v>
      </c>
      <c r="I16" s="137">
        <v>10.399999999999991</v>
      </c>
      <c r="J16" s="116"/>
    </row>
    <row r="17" spans="4:10" ht="12" customHeight="1">
      <c r="D17" s="115"/>
      <c r="E17" s="216"/>
      <c r="F17" s="134" t="s">
        <v>119</v>
      </c>
      <c r="G17" s="135">
        <v>38.5</v>
      </c>
      <c r="H17" s="136">
        <v>52.1</v>
      </c>
      <c r="I17" s="137">
        <v>13.600000000000001</v>
      </c>
      <c r="J17" s="116"/>
    </row>
    <row r="18" spans="4:10" ht="12" customHeight="1">
      <c r="D18" s="115"/>
      <c r="E18" s="216"/>
      <c r="F18" s="134" t="s">
        <v>121</v>
      </c>
      <c r="G18" s="135">
        <v>41</v>
      </c>
      <c r="H18" s="136">
        <v>58.1</v>
      </c>
      <c r="I18" s="137">
        <v>17.100000000000001</v>
      </c>
      <c r="J18" s="116"/>
    </row>
    <row r="19" spans="4:10" ht="12" customHeight="1">
      <c r="D19" s="115"/>
      <c r="E19" s="216"/>
      <c r="F19" s="134" t="s">
        <v>123</v>
      </c>
      <c r="G19" s="135">
        <v>50.1</v>
      </c>
      <c r="H19" s="136">
        <v>62.5</v>
      </c>
      <c r="I19" s="137">
        <v>12.399999999999999</v>
      </c>
      <c r="J19" s="116"/>
    </row>
    <row r="20" spans="4:10" ht="12" customHeight="1">
      <c r="D20" s="115"/>
      <c r="E20" s="216" t="s">
        <v>111</v>
      </c>
      <c r="F20" s="134" t="s">
        <v>34</v>
      </c>
      <c r="G20" s="135">
        <v>88.6</v>
      </c>
      <c r="H20" s="136">
        <v>93.2</v>
      </c>
      <c r="I20" s="137">
        <v>4.6000000000000085</v>
      </c>
      <c r="J20" s="116"/>
    </row>
    <row r="21" spans="4:10" ht="12" customHeight="1">
      <c r="D21" s="115"/>
      <c r="E21" s="216"/>
      <c r="F21" s="134" t="s">
        <v>35</v>
      </c>
      <c r="G21" s="135">
        <v>51.8</v>
      </c>
      <c r="H21" s="136">
        <v>67.099999999999994</v>
      </c>
      <c r="I21" s="137">
        <v>15.299999999999997</v>
      </c>
      <c r="J21" s="116"/>
    </row>
    <row r="22" spans="4:10" ht="12" customHeight="1">
      <c r="D22" s="115"/>
      <c r="E22" s="216"/>
      <c r="F22" s="134" t="s">
        <v>36</v>
      </c>
      <c r="G22" s="135">
        <v>11.7</v>
      </c>
      <c r="H22" s="136">
        <v>23.4</v>
      </c>
      <c r="I22" s="137">
        <v>11.7</v>
      </c>
      <c r="J22" s="116"/>
    </row>
    <row r="23" spans="4:10" ht="12" customHeight="1">
      <c r="D23" s="115"/>
      <c r="E23" s="216" t="s">
        <v>112</v>
      </c>
      <c r="F23" s="134" t="s">
        <v>104</v>
      </c>
      <c r="G23" s="135">
        <v>94</v>
      </c>
      <c r="H23" s="136">
        <v>95.8</v>
      </c>
      <c r="I23" s="137">
        <v>1.7999999999999972</v>
      </c>
      <c r="J23" s="116"/>
    </row>
    <row r="24" spans="4:10" ht="12" customHeight="1">
      <c r="D24" s="115"/>
      <c r="E24" s="216"/>
      <c r="F24" s="134" t="s">
        <v>27</v>
      </c>
      <c r="G24" s="135">
        <v>2.5</v>
      </c>
      <c r="H24" s="136">
        <v>14.2</v>
      </c>
      <c r="I24" s="137">
        <v>11.7</v>
      </c>
      <c r="J24" s="116"/>
    </row>
    <row r="25" spans="4:10" ht="12" customHeight="1">
      <c r="D25" s="115"/>
      <c r="E25" s="216"/>
      <c r="F25" s="134" t="s">
        <v>28</v>
      </c>
      <c r="G25" s="135">
        <v>81.900000000000006</v>
      </c>
      <c r="H25" s="136">
        <v>93</v>
      </c>
      <c r="I25" s="137">
        <v>11.099999999999994</v>
      </c>
      <c r="J25" s="116"/>
    </row>
    <row r="26" spans="4:10" ht="12" customHeight="1">
      <c r="D26" s="115"/>
      <c r="E26" s="216"/>
      <c r="F26" s="134" t="s">
        <v>30</v>
      </c>
      <c r="G26" s="135">
        <v>4.0999999999999996</v>
      </c>
      <c r="H26" s="136">
        <v>86.4</v>
      </c>
      <c r="I26" s="137">
        <v>82.300000000000011</v>
      </c>
      <c r="J26" s="116"/>
    </row>
    <row r="27" spans="4:10" ht="12" customHeight="1">
      <c r="D27" s="115"/>
      <c r="E27" s="216"/>
      <c r="F27" s="134" t="s">
        <v>29</v>
      </c>
      <c r="G27" s="135">
        <v>45.9</v>
      </c>
      <c r="H27" s="136">
        <v>34.5</v>
      </c>
      <c r="I27" s="137">
        <v>-11.399999999999999</v>
      </c>
      <c r="J27" s="116"/>
    </row>
    <row r="28" spans="4:10" ht="12" customHeight="1">
      <c r="D28" s="115"/>
      <c r="E28" s="216"/>
      <c r="F28" s="134" t="s">
        <v>105</v>
      </c>
      <c r="G28" s="135">
        <v>24.9</v>
      </c>
      <c r="H28" s="136">
        <v>46.4</v>
      </c>
      <c r="I28" s="137">
        <v>21.5</v>
      </c>
      <c r="J28" s="116"/>
    </row>
    <row r="29" spans="4:10" ht="12" customHeight="1">
      <c r="D29" s="115"/>
      <c r="E29" s="216"/>
      <c r="F29" s="134" t="s">
        <v>106</v>
      </c>
      <c r="G29" s="135">
        <v>11.6</v>
      </c>
      <c r="H29" s="136">
        <v>36.4</v>
      </c>
      <c r="I29" s="137">
        <v>24.799999999999997</v>
      </c>
      <c r="J29" s="116"/>
    </row>
    <row r="30" spans="4:10" ht="12" customHeight="1">
      <c r="D30" s="115"/>
      <c r="E30" s="216"/>
      <c r="F30" s="134" t="s">
        <v>55</v>
      </c>
      <c r="G30" s="135">
        <v>18</v>
      </c>
      <c r="H30" s="136">
        <v>47</v>
      </c>
      <c r="I30" s="137">
        <v>29</v>
      </c>
      <c r="J30" s="116"/>
    </row>
    <row r="31" spans="4:10">
      <c r="E31" s="130"/>
      <c r="F31" s="130"/>
      <c r="G31" s="130"/>
      <c r="H31" s="130"/>
      <c r="I31" s="130"/>
    </row>
    <row r="32" spans="4:10" ht="21">
      <c r="D32" s="115"/>
      <c r="E32" s="217"/>
      <c r="F32" s="217"/>
      <c r="G32" s="131" t="s">
        <v>225</v>
      </c>
      <c r="H32" s="131" t="s">
        <v>226</v>
      </c>
      <c r="I32" s="131" t="s">
        <v>110</v>
      </c>
      <c r="J32" s="116"/>
    </row>
    <row r="33" spans="4:10" ht="12" customHeight="1">
      <c r="D33" s="115"/>
      <c r="E33" s="218" t="s">
        <v>82</v>
      </c>
      <c r="F33" s="218"/>
      <c r="G33" s="132">
        <v>49.3</v>
      </c>
      <c r="H33" s="132">
        <v>62.2</v>
      </c>
      <c r="I33" s="133">
        <v>12.900000000000006</v>
      </c>
      <c r="J33" s="116"/>
    </row>
    <row r="34" spans="4:10" ht="12" customHeight="1">
      <c r="D34" s="115"/>
      <c r="E34" s="216" t="s">
        <v>83</v>
      </c>
      <c r="F34" s="134" t="s">
        <v>84</v>
      </c>
      <c r="G34" s="135">
        <v>47.2</v>
      </c>
      <c r="H34" s="136">
        <v>62.3</v>
      </c>
      <c r="I34" s="137">
        <v>15.099999999999994</v>
      </c>
      <c r="J34" s="116"/>
    </row>
    <row r="35" spans="4:10" ht="12" customHeight="1">
      <c r="D35" s="115"/>
      <c r="E35" s="216"/>
      <c r="F35" s="134" t="s">
        <v>85</v>
      </c>
      <c r="G35" s="135">
        <v>51.3</v>
      </c>
      <c r="H35" s="136">
        <v>62.2</v>
      </c>
      <c r="I35" s="137">
        <v>10.900000000000006</v>
      </c>
      <c r="J35" s="116"/>
    </row>
    <row r="36" spans="4:10" ht="12" customHeight="1">
      <c r="D36" s="115"/>
      <c r="E36" s="216" t="s">
        <v>86</v>
      </c>
      <c r="F36" s="134" t="s">
        <v>127</v>
      </c>
      <c r="G36" s="135">
        <v>39.5</v>
      </c>
      <c r="H36" s="136">
        <v>45.8</v>
      </c>
      <c r="I36" s="137">
        <v>6.2999999999999972</v>
      </c>
      <c r="J36" s="116"/>
    </row>
    <row r="37" spans="4:10" ht="12" customHeight="1">
      <c r="D37" s="115"/>
      <c r="E37" s="216"/>
      <c r="F37" s="134" t="s">
        <v>128</v>
      </c>
      <c r="G37" s="135">
        <v>42.4</v>
      </c>
      <c r="H37" s="136">
        <v>61.6</v>
      </c>
      <c r="I37" s="137">
        <v>19.200000000000003</v>
      </c>
      <c r="J37" s="116"/>
    </row>
    <row r="38" spans="4:10" ht="12" customHeight="1">
      <c r="D38" s="115"/>
      <c r="E38" s="216"/>
      <c r="F38" s="134" t="s">
        <v>129</v>
      </c>
      <c r="G38" s="135">
        <v>66.400000000000006</v>
      </c>
      <c r="H38" s="136">
        <v>79.3</v>
      </c>
      <c r="I38" s="137">
        <v>12.899999999999991</v>
      </c>
      <c r="J38" s="116"/>
    </row>
    <row r="39" spans="4:10" ht="12" customHeight="1">
      <c r="D39" s="115"/>
      <c r="E39" s="216"/>
      <c r="F39" s="134" t="s">
        <v>130</v>
      </c>
      <c r="G39" s="135">
        <v>65.099999999999994</v>
      </c>
      <c r="H39" s="136">
        <v>75.2</v>
      </c>
      <c r="I39" s="137">
        <v>10.100000000000009</v>
      </c>
      <c r="J39" s="116"/>
    </row>
    <row r="40" spans="4:10" ht="12" customHeight="1">
      <c r="D40" s="115"/>
      <c r="E40" s="216"/>
      <c r="F40" s="134" t="s">
        <v>131</v>
      </c>
      <c r="G40" s="135">
        <v>43.1</v>
      </c>
      <c r="H40" s="136">
        <v>56.3</v>
      </c>
      <c r="I40" s="137">
        <v>13.199999999999996</v>
      </c>
      <c r="J40" s="116"/>
    </row>
    <row r="41" spans="4:10" ht="12" customHeight="1">
      <c r="D41" s="115"/>
      <c r="E41" s="216"/>
      <c r="F41" s="134" t="s">
        <v>132</v>
      </c>
      <c r="G41" s="135">
        <v>33.4</v>
      </c>
      <c r="H41" s="136">
        <v>50.3</v>
      </c>
      <c r="I41" s="137">
        <v>16.899999999999999</v>
      </c>
      <c r="J41" s="116"/>
    </row>
    <row r="42" spans="4:10" ht="12" customHeight="1">
      <c r="D42" s="115"/>
      <c r="E42" s="216" t="s">
        <v>139</v>
      </c>
      <c r="F42" s="134" t="s">
        <v>94</v>
      </c>
      <c r="G42" s="135">
        <v>47.6</v>
      </c>
      <c r="H42" s="136">
        <v>61</v>
      </c>
      <c r="I42" s="137">
        <v>13.399999999999999</v>
      </c>
      <c r="J42" s="116"/>
    </row>
    <row r="43" spans="4:10" ht="12" customHeight="1">
      <c r="D43" s="115"/>
      <c r="E43" s="216"/>
      <c r="F43" s="134" t="s">
        <v>114</v>
      </c>
      <c r="G43" s="135">
        <v>51.2</v>
      </c>
      <c r="H43" s="136">
        <v>64.099999999999994</v>
      </c>
      <c r="I43" s="137">
        <v>12.899999999999991</v>
      </c>
      <c r="J43" s="116"/>
    </row>
    <row r="44" spans="4:10" ht="12" customHeight="1">
      <c r="D44" s="115"/>
      <c r="E44" s="216"/>
      <c r="F44" s="134" t="s">
        <v>148</v>
      </c>
      <c r="G44" s="135">
        <v>49.8</v>
      </c>
      <c r="H44" s="136">
        <v>58.1</v>
      </c>
      <c r="I44" s="137">
        <v>8.3000000000000043</v>
      </c>
      <c r="J44" s="116"/>
    </row>
    <row r="45" spans="4:10" ht="12" customHeight="1">
      <c r="D45" s="115"/>
      <c r="E45" s="216"/>
      <c r="F45" s="134" t="s">
        <v>117</v>
      </c>
      <c r="G45" s="135">
        <v>68.7</v>
      </c>
      <c r="H45" s="136">
        <v>79.099999999999994</v>
      </c>
      <c r="I45" s="137">
        <v>10.399999999999991</v>
      </c>
      <c r="J45" s="116"/>
    </row>
    <row r="46" spans="4:10" ht="12" customHeight="1">
      <c r="D46" s="115"/>
      <c r="E46" s="216"/>
      <c r="F46" s="134" t="s">
        <v>119</v>
      </c>
      <c r="G46" s="135">
        <v>38.5</v>
      </c>
      <c r="H46" s="136">
        <v>52.1</v>
      </c>
      <c r="I46" s="137">
        <v>13.600000000000001</v>
      </c>
      <c r="J46" s="116"/>
    </row>
    <row r="47" spans="4:10" ht="12" customHeight="1">
      <c r="D47" s="115"/>
      <c r="E47" s="216"/>
      <c r="F47" s="134" t="s">
        <v>121</v>
      </c>
      <c r="G47" s="135">
        <v>41</v>
      </c>
      <c r="H47" s="136">
        <v>58.1</v>
      </c>
      <c r="I47" s="137">
        <v>17.100000000000001</v>
      </c>
      <c r="J47" s="116"/>
    </row>
    <row r="48" spans="4:10" ht="12" customHeight="1">
      <c r="D48" s="115"/>
      <c r="E48" s="216"/>
      <c r="F48" s="134" t="s">
        <v>123</v>
      </c>
      <c r="G48" s="135">
        <v>50.1</v>
      </c>
      <c r="H48" s="136">
        <v>62.5</v>
      </c>
      <c r="I48" s="137">
        <v>12.399999999999999</v>
      </c>
      <c r="J48" s="116"/>
    </row>
    <row r="49" spans="2:10" ht="12" customHeight="1">
      <c r="D49" s="115"/>
      <c r="E49" s="216" t="s">
        <v>111</v>
      </c>
      <c r="F49" s="134" t="s">
        <v>34</v>
      </c>
      <c r="G49" s="135">
        <v>88.6</v>
      </c>
      <c r="H49" s="136">
        <v>93.2</v>
      </c>
      <c r="I49" s="137">
        <v>4.6000000000000085</v>
      </c>
      <c r="J49" s="116"/>
    </row>
    <row r="50" spans="2:10" ht="12" customHeight="1">
      <c r="D50" s="115"/>
      <c r="E50" s="216"/>
      <c r="F50" s="134" t="s">
        <v>35</v>
      </c>
      <c r="G50" s="135">
        <v>51.8</v>
      </c>
      <c r="H50" s="136">
        <v>67.099999999999994</v>
      </c>
      <c r="I50" s="137">
        <v>15.299999999999997</v>
      </c>
      <c r="J50" s="116"/>
    </row>
    <row r="51" spans="2:10" ht="12" customHeight="1">
      <c r="D51" s="115"/>
      <c r="E51" s="216"/>
      <c r="F51" s="134" t="s">
        <v>36</v>
      </c>
      <c r="G51" s="135">
        <v>11.7</v>
      </c>
      <c r="H51" s="136">
        <v>23.4</v>
      </c>
      <c r="I51" s="137">
        <v>11.7</v>
      </c>
      <c r="J51" s="116"/>
    </row>
    <row r="52" spans="2:10" ht="12" customHeight="1">
      <c r="D52" s="115"/>
      <c r="E52" s="216" t="s">
        <v>112</v>
      </c>
      <c r="F52" s="134" t="s">
        <v>104</v>
      </c>
      <c r="G52" s="135">
        <v>94</v>
      </c>
      <c r="H52" s="136">
        <v>95.8</v>
      </c>
      <c r="I52" s="137">
        <v>1.7999999999999972</v>
      </c>
      <c r="J52" s="116"/>
    </row>
    <row r="53" spans="2:10" ht="12" customHeight="1">
      <c r="D53" s="115"/>
      <c r="E53" s="216"/>
      <c r="F53" s="134" t="s">
        <v>27</v>
      </c>
      <c r="G53" s="135">
        <v>2.5</v>
      </c>
      <c r="H53" s="136">
        <v>14.2</v>
      </c>
      <c r="I53" s="137">
        <v>11.7</v>
      </c>
      <c r="J53" s="116"/>
    </row>
    <row r="54" spans="2:10" ht="12" customHeight="1">
      <c r="D54" s="115"/>
      <c r="E54" s="216"/>
      <c r="F54" s="134" t="s">
        <v>28</v>
      </c>
      <c r="G54" s="135">
        <v>81.900000000000006</v>
      </c>
      <c r="H54" s="136">
        <v>93</v>
      </c>
      <c r="I54" s="137">
        <v>11.099999999999994</v>
      </c>
      <c r="J54" s="116"/>
    </row>
    <row r="55" spans="2:10" ht="12" customHeight="1">
      <c r="D55" s="115"/>
      <c r="E55" s="216"/>
      <c r="F55" s="134" t="s">
        <v>30</v>
      </c>
      <c r="G55" s="135">
        <v>4.0999999999999996</v>
      </c>
      <c r="H55" s="136">
        <v>86.4</v>
      </c>
      <c r="I55" s="137">
        <v>82.300000000000011</v>
      </c>
      <c r="J55" s="116"/>
    </row>
    <row r="56" spans="2:10" ht="12" customHeight="1">
      <c r="D56" s="115"/>
      <c r="E56" s="216"/>
      <c r="F56" s="134" t="s">
        <v>29</v>
      </c>
      <c r="G56" s="135">
        <v>45.9</v>
      </c>
      <c r="H56" s="136">
        <v>34.5</v>
      </c>
      <c r="I56" s="137">
        <v>-11.399999999999999</v>
      </c>
      <c r="J56" s="116"/>
    </row>
    <row r="57" spans="2:10" ht="12" customHeight="1">
      <c r="D57" s="115"/>
      <c r="E57" s="216"/>
      <c r="F57" s="134" t="s">
        <v>105</v>
      </c>
      <c r="G57" s="246">
        <v>24.9</v>
      </c>
      <c r="H57" s="246">
        <v>46.4</v>
      </c>
      <c r="I57" s="137">
        <v>21.5</v>
      </c>
      <c r="J57" s="116"/>
    </row>
    <row r="58" spans="2:10" ht="12" customHeight="1">
      <c r="D58" s="115"/>
      <c r="E58" s="216"/>
      <c r="F58" s="134" t="s">
        <v>262</v>
      </c>
      <c r="G58" s="246">
        <v>13.329743451206161</v>
      </c>
      <c r="H58" s="246">
        <v>38.524030878104121</v>
      </c>
      <c r="I58" s="137">
        <f>H58-G58</f>
        <v>25.194287426897958</v>
      </c>
      <c r="J58" s="116"/>
    </row>
    <row r="59" spans="2:10">
      <c r="E59" s="130"/>
      <c r="F59" s="130"/>
      <c r="G59" s="130"/>
      <c r="H59" s="130"/>
      <c r="I59" s="130"/>
    </row>
    <row r="62" spans="2:10" ht="17.25" thickBot="1"/>
    <row r="63" spans="2:10" ht="35.25" thickBot="1">
      <c r="B63" s="97"/>
      <c r="C63" s="98" t="s">
        <v>109</v>
      </c>
      <c r="D63" s="97" t="s">
        <v>27</v>
      </c>
      <c r="E63" s="97" t="s">
        <v>28</v>
      </c>
      <c r="F63" s="97" t="s">
        <v>29</v>
      </c>
      <c r="G63" s="97" t="s">
        <v>30</v>
      </c>
      <c r="H63" s="97" t="s">
        <v>31</v>
      </c>
      <c r="I63" s="97" t="s">
        <v>9</v>
      </c>
      <c r="J63" s="98" t="s">
        <v>55</v>
      </c>
    </row>
    <row r="64" spans="2:10" ht="30.75" thickBot="1">
      <c r="B64" s="97" t="s">
        <v>48</v>
      </c>
      <c r="C64" s="99">
        <v>34.1</v>
      </c>
      <c r="D64" s="99">
        <v>24.8</v>
      </c>
      <c r="E64" s="99">
        <v>4</v>
      </c>
      <c r="F64" s="99">
        <v>1.3</v>
      </c>
      <c r="G64" s="99">
        <v>13.6</v>
      </c>
      <c r="H64" s="99">
        <v>2</v>
      </c>
      <c r="I64" s="99">
        <v>15.5</v>
      </c>
      <c r="J64" s="99">
        <v>4.8</v>
      </c>
    </row>
    <row r="65" spans="2:10" ht="31.5" thickBot="1">
      <c r="B65" s="97" t="s">
        <v>149</v>
      </c>
      <c r="C65" s="99">
        <v>85.5</v>
      </c>
      <c r="D65" s="99">
        <v>1.1000000000000001</v>
      </c>
      <c r="E65" s="99">
        <v>7.8</v>
      </c>
      <c r="F65" s="99">
        <v>0.8</v>
      </c>
      <c r="G65" s="99">
        <v>0.4</v>
      </c>
      <c r="H65" s="99">
        <v>1.7</v>
      </c>
      <c r="I65" s="99">
        <v>2</v>
      </c>
      <c r="J65" s="99">
        <v>0.8</v>
      </c>
    </row>
    <row r="96" spans="16:20">
      <c r="P96" s="129"/>
      <c r="Q96" s="129"/>
      <c r="R96" s="129"/>
      <c r="S96" s="129"/>
      <c r="T96" s="129"/>
    </row>
    <row r="97" spans="15:21" ht="21">
      <c r="O97" s="115"/>
      <c r="P97" s="217"/>
      <c r="Q97" s="217"/>
      <c r="R97" s="131" t="s">
        <v>222</v>
      </c>
      <c r="S97" s="131" t="s">
        <v>223</v>
      </c>
      <c r="T97" s="131" t="s">
        <v>224</v>
      </c>
      <c r="U97" s="116"/>
    </row>
    <row r="98" spans="15:21">
      <c r="O98" s="115"/>
      <c r="P98" s="219" t="s">
        <v>83</v>
      </c>
      <c r="Q98" s="140" t="s">
        <v>143</v>
      </c>
      <c r="R98" s="141">
        <v>53.332323718492248</v>
      </c>
      <c r="S98" s="142">
        <v>48.611818382479882</v>
      </c>
      <c r="T98" s="143">
        <f>R98-S98</f>
        <v>4.7205053360123657</v>
      </c>
      <c r="U98" s="116"/>
    </row>
    <row r="99" spans="15:21">
      <c r="O99" s="115"/>
      <c r="P99" s="219"/>
      <c r="Q99" s="140" t="s">
        <v>144</v>
      </c>
      <c r="R99" s="141">
        <v>46.667676281507781</v>
      </c>
      <c r="S99" s="142">
        <v>51.388181617519983</v>
      </c>
      <c r="T99" s="143">
        <f t="shared" ref="T99:T115" si="0">R99-S99</f>
        <v>-4.7205053360122022</v>
      </c>
      <c r="U99" s="116"/>
    </row>
    <row r="100" spans="15:21">
      <c r="O100" s="115"/>
      <c r="P100" s="219" t="s">
        <v>138</v>
      </c>
      <c r="Q100" s="140" t="s">
        <v>127</v>
      </c>
      <c r="R100" s="141">
        <v>13.030924739038067</v>
      </c>
      <c r="S100" s="142">
        <v>10.396595922933949</v>
      </c>
      <c r="T100" s="143">
        <f t="shared" si="0"/>
        <v>2.6343288161041176</v>
      </c>
      <c r="U100" s="116"/>
    </row>
    <row r="101" spans="15:21">
      <c r="O101" s="115"/>
      <c r="P101" s="219"/>
      <c r="Q101" s="140" t="s">
        <v>128</v>
      </c>
      <c r="R101" s="141">
        <v>21.914480006693854</v>
      </c>
      <c r="S101" s="142">
        <v>12.86270993653377</v>
      </c>
      <c r="T101" s="143">
        <f t="shared" si="0"/>
        <v>9.0517700701600834</v>
      </c>
      <c r="U101" s="116"/>
    </row>
    <row r="102" spans="15:21">
      <c r="O102" s="115"/>
      <c r="P102" s="219"/>
      <c r="Q102" s="140" t="s">
        <v>129</v>
      </c>
      <c r="R102" s="141">
        <v>20.327913482867938</v>
      </c>
      <c r="S102" s="142">
        <v>22.342682328272769</v>
      </c>
      <c r="T102" s="143">
        <f t="shared" si="0"/>
        <v>-2.0147688454048307</v>
      </c>
      <c r="U102" s="116"/>
    </row>
    <row r="103" spans="15:21">
      <c r="O103" s="115"/>
      <c r="P103" s="219"/>
      <c r="Q103" s="140" t="s">
        <v>130</v>
      </c>
      <c r="R103" s="141">
        <v>14.743262733076062</v>
      </c>
      <c r="S103" s="142">
        <v>25.974949971148142</v>
      </c>
      <c r="T103" s="143">
        <f t="shared" si="0"/>
        <v>-11.23168723807208</v>
      </c>
      <c r="U103" s="116"/>
    </row>
    <row r="104" spans="15:21">
      <c r="O104" s="115"/>
      <c r="P104" s="219"/>
      <c r="Q104" s="140" t="s">
        <v>131</v>
      </c>
      <c r="R104" s="141">
        <v>16.223595662796484</v>
      </c>
      <c r="S104" s="142">
        <v>16.043340884024001</v>
      </c>
      <c r="T104" s="143">
        <f t="shared" si="0"/>
        <v>0.18025477877248264</v>
      </c>
      <c r="U104" s="116"/>
    </row>
    <row r="105" spans="15:21">
      <c r="O105" s="115"/>
      <c r="P105" s="219"/>
      <c r="Q105" s="140" t="s">
        <v>132</v>
      </c>
      <c r="R105" s="141">
        <v>13.75982337552766</v>
      </c>
      <c r="S105" s="142">
        <v>12.379720957087239</v>
      </c>
      <c r="T105" s="143">
        <f t="shared" si="0"/>
        <v>1.3801024184404209</v>
      </c>
      <c r="U105" s="116"/>
    </row>
    <row r="106" spans="15:21">
      <c r="O106" s="115"/>
      <c r="P106" s="219" t="s">
        <v>139</v>
      </c>
      <c r="Q106" s="134" t="s">
        <v>94</v>
      </c>
      <c r="R106" s="141">
        <v>17.725623292950026</v>
      </c>
      <c r="S106" s="142">
        <v>18.336773767986784</v>
      </c>
      <c r="T106" s="143">
        <f t="shared" si="0"/>
        <v>-0.61115047503675868</v>
      </c>
      <c r="U106" s="116"/>
    </row>
    <row r="107" spans="15:21">
      <c r="O107" s="115"/>
      <c r="P107" s="219"/>
      <c r="Q107" s="134" t="s">
        <v>114</v>
      </c>
      <c r="R107" s="141">
        <v>31.176770694762268</v>
      </c>
      <c r="S107" s="142">
        <v>33.981115818622868</v>
      </c>
      <c r="T107" s="143">
        <f t="shared" si="0"/>
        <v>-2.8043451238605996</v>
      </c>
      <c r="U107" s="116"/>
    </row>
    <row r="108" spans="15:21">
      <c r="O108" s="115"/>
      <c r="P108" s="219"/>
      <c r="Q108" s="134" t="s">
        <v>148</v>
      </c>
      <c r="R108" s="141">
        <v>6.8338517870023097</v>
      </c>
      <c r="S108" s="142">
        <v>10.939181559927823</v>
      </c>
      <c r="T108" s="143">
        <f t="shared" si="0"/>
        <v>-4.1053297729255132</v>
      </c>
      <c r="U108" s="116"/>
    </row>
    <row r="109" spans="15:21">
      <c r="O109" s="115"/>
      <c r="P109" s="219"/>
      <c r="Q109" s="134" t="s">
        <v>117</v>
      </c>
      <c r="R109" s="141">
        <v>10.065890599664355</v>
      </c>
      <c r="S109" s="142">
        <v>12.802454347393835</v>
      </c>
      <c r="T109" s="143">
        <f t="shared" si="0"/>
        <v>-2.7365637477294804</v>
      </c>
      <c r="U109" s="116"/>
    </row>
    <row r="110" spans="15:21">
      <c r="O110" s="115"/>
      <c r="P110" s="219"/>
      <c r="Q110" s="134" t="s">
        <v>119</v>
      </c>
      <c r="R110" s="141">
        <v>11.2309666941137</v>
      </c>
      <c r="S110" s="142">
        <v>7.1002707437986663</v>
      </c>
      <c r="T110" s="143">
        <f t="shared" si="0"/>
        <v>4.130695950315034</v>
      </c>
      <c r="U110" s="116"/>
    </row>
    <row r="111" spans="15:21">
      <c r="O111" s="115"/>
      <c r="P111" s="219"/>
      <c r="Q111" s="134" t="s">
        <v>121</v>
      </c>
      <c r="R111" s="141">
        <v>20.121978297354936</v>
      </c>
      <c r="S111" s="142">
        <v>12.10015372972992</v>
      </c>
      <c r="T111" s="143">
        <f t="shared" si="0"/>
        <v>8.0218245676250159</v>
      </c>
      <c r="U111" s="116"/>
    </row>
    <row r="112" spans="15:21">
      <c r="O112" s="115"/>
      <c r="P112" s="219"/>
      <c r="Q112" s="134" t="s">
        <v>123</v>
      </c>
      <c r="R112" s="141">
        <v>2.8449186341524615</v>
      </c>
      <c r="S112" s="142">
        <v>4.7400500325400463</v>
      </c>
      <c r="T112" s="143">
        <f t="shared" si="0"/>
        <v>-1.8951313983875848</v>
      </c>
      <c r="U112" s="116"/>
    </row>
    <row r="113" spans="15:21">
      <c r="O113" s="115"/>
      <c r="P113" s="219" t="s">
        <v>111</v>
      </c>
      <c r="Q113" s="140" t="s">
        <v>34</v>
      </c>
      <c r="R113" s="141">
        <v>13.47897671617017</v>
      </c>
      <c r="S113" s="142">
        <v>47.766627300349228</v>
      </c>
      <c r="T113" s="143">
        <f t="shared" si="0"/>
        <v>-34.287650584179062</v>
      </c>
      <c r="U113" s="116"/>
    </row>
    <row r="114" spans="15:21">
      <c r="O114" s="115"/>
      <c r="P114" s="219"/>
      <c r="Q114" s="140" t="s">
        <v>35</v>
      </c>
      <c r="R114" s="141">
        <v>65.852578591377124</v>
      </c>
      <c r="S114" s="142">
        <v>44.940300384961283</v>
      </c>
      <c r="T114" s="143">
        <f t="shared" si="0"/>
        <v>20.912278206415841</v>
      </c>
      <c r="U114" s="116"/>
    </row>
    <row r="115" spans="15:21">
      <c r="O115" s="115"/>
      <c r="P115" s="219"/>
      <c r="Q115" s="140" t="s">
        <v>36</v>
      </c>
      <c r="R115" s="141">
        <v>20.668444692452709</v>
      </c>
      <c r="S115" s="142">
        <v>7.2930723146893328</v>
      </c>
      <c r="T115" s="143">
        <f t="shared" si="0"/>
        <v>13.375372377763377</v>
      </c>
      <c r="U115" s="116"/>
    </row>
    <row r="116" spans="15:21">
      <c r="P116" s="130"/>
      <c r="Q116" s="130"/>
      <c r="R116" s="130"/>
      <c r="S116" s="130"/>
      <c r="T116" s="130"/>
    </row>
  </sheetData>
  <mergeCells count="19">
    <mergeCell ref="E49:E51"/>
    <mergeCell ref="E52:E58"/>
    <mergeCell ref="E32:F32"/>
    <mergeCell ref="E33:F33"/>
    <mergeCell ref="E34:E35"/>
    <mergeCell ref="E36:E41"/>
    <mergeCell ref="E42:E48"/>
    <mergeCell ref="P97:Q97"/>
    <mergeCell ref="P98:P99"/>
    <mergeCell ref="P100:P105"/>
    <mergeCell ref="P106:P112"/>
    <mergeCell ref="P113:P115"/>
    <mergeCell ref="E23:E30"/>
    <mergeCell ref="E3:F3"/>
    <mergeCell ref="E4:F4"/>
    <mergeCell ref="E5:E6"/>
    <mergeCell ref="E7:E12"/>
    <mergeCell ref="E13:E19"/>
    <mergeCell ref="E20:E22"/>
  </mergeCells>
  <phoneticPr fontId="6" type="noConversion"/>
  <conditionalFormatting sqref="I4:I30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{E686F429-ED37-48C2-89A5-E18D6BD237BA}</x14:id>
        </ext>
      </extLst>
    </cfRule>
  </conditionalFormatting>
  <conditionalFormatting sqref="T98:T115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{A4492945-8F85-41E2-9CC5-40C2647B42DB}</x14:id>
        </ext>
      </extLst>
    </cfRule>
  </conditionalFormatting>
  <conditionalFormatting sqref="I33:I58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{50ACF02A-6109-45DB-A715-AF1FB70A1773}</x14:id>
        </ext>
      </extLst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686F429-ED37-48C2-89A5-E18D6BD237BA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I4:I30</xm:sqref>
        </x14:conditionalFormatting>
        <x14:conditionalFormatting xmlns:xm="http://schemas.microsoft.com/office/excel/2006/main">
          <x14:cfRule type="dataBar" id="{A4492945-8F85-41E2-9CC5-40C2647B42DB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T98:T115</xm:sqref>
        </x14:conditionalFormatting>
        <x14:conditionalFormatting xmlns:xm="http://schemas.microsoft.com/office/excel/2006/main">
          <x14:cfRule type="dataBar" id="{50ACF02A-6109-45DB-A715-AF1FB70A177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I33:I58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68EA7-1674-48C8-A0E0-81CFC5600322}">
  <dimension ref="B3:K23"/>
  <sheetViews>
    <sheetView workbookViewId="0">
      <selection activeCell="C3" sqref="C3:J22"/>
    </sheetView>
  </sheetViews>
  <sheetFormatPr defaultRowHeight="16.5"/>
  <cols>
    <col min="1" max="2" width="9" style="100"/>
    <col min="3" max="10" width="14.625" style="100" customWidth="1"/>
    <col min="11" max="16384" width="9" style="100"/>
  </cols>
  <sheetData>
    <row r="3" spans="2:11" s="109" customFormat="1" ht="17.25" customHeight="1">
      <c r="C3" s="102" t="s">
        <v>152</v>
      </c>
      <c r="D3" s="105"/>
      <c r="E3" s="105"/>
      <c r="F3" s="105"/>
      <c r="G3" s="105"/>
      <c r="H3" s="105"/>
      <c r="I3" s="105"/>
      <c r="J3" s="105"/>
    </row>
    <row r="4" spans="2:11" s="109" customFormat="1" ht="12" customHeight="1">
      <c r="C4" s="104"/>
      <c r="D4" s="106"/>
      <c r="E4" s="106"/>
      <c r="F4" s="106"/>
      <c r="G4" s="106"/>
      <c r="H4" s="103" t="s">
        <v>155</v>
      </c>
      <c r="I4" s="105"/>
      <c r="J4" s="105"/>
    </row>
    <row r="5" spans="2:11" s="109" customFormat="1" ht="23.25" customHeight="1">
      <c r="B5" s="111"/>
      <c r="C5" s="144"/>
      <c r="D5" s="145" t="s">
        <v>161</v>
      </c>
      <c r="E5" s="145" t="s">
        <v>162</v>
      </c>
      <c r="F5" s="145" t="s">
        <v>163</v>
      </c>
      <c r="G5" s="145" t="s">
        <v>164</v>
      </c>
      <c r="H5" s="145" t="s">
        <v>165</v>
      </c>
      <c r="I5" s="107"/>
      <c r="J5" s="105"/>
    </row>
    <row r="6" spans="2:11" s="109" customFormat="1" ht="12" customHeight="1">
      <c r="B6" s="111"/>
      <c r="C6" s="152" t="s">
        <v>48</v>
      </c>
      <c r="D6" s="153">
        <v>9.8774403732503764</v>
      </c>
      <c r="E6" s="153">
        <v>30.716329091519555</v>
      </c>
      <c r="F6" s="153">
        <v>25.674466396143693</v>
      </c>
      <c r="G6" s="153">
        <v>17.989518796885623</v>
      </c>
      <c r="H6" s="153">
        <v>15.742245342200773</v>
      </c>
      <c r="I6" s="107"/>
      <c r="J6" s="105"/>
    </row>
    <row r="7" spans="2:11" s="109" customFormat="1" ht="12" customHeight="1">
      <c r="B7" s="111"/>
      <c r="C7" s="146" t="s">
        <v>47</v>
      </c>
      <c r="D7" s="147">
        <v>11.276941993363709</v>
      </c>
      <c r="E7" s="147">
        <v>27.367187885573109</v>
      </c>
      <c r="F7" s="147">
        <v>25.046279086542693</v>
      </c>
      <c r="G7" s="147">
        <v>15.512861391299564</v>
      </c>
      <c r="H7" s="147">
        <v>20.796729643221198</v>
      </c>
      <c r="I7" s="107"/>
      <c r="J7" s="105"/>
    </row>
    <row r="8" spans="2:11" s="109" customFormat="1" ht="12" customHeight="1">
      <c r="B8" s="111"/>
      <c r="C8" s="149" t="s">
        <v>151</v>
      </c>
      <c r="D8" s="150">
        <v>13.126728958767552</v>
      </c>
      <c r="E8" s="150">
        <v>29.562026316719521</v>
      </c>
      <c r="F8" s="150">
        <v>24.290786979610353</v>
      </c>
      <c r="G8" s="150">
        <v>14.242933783869507</v>
      </c>
      <c r="H8" s="150">
        <v>18.777523971318548</v>
      </c>
      <c r="I8" s="107"/>
      <c r="J8" s="105"/>
    </row>
    <row r="9" spans="2:11" s="109" customFormat="1" ht="12" customHeight="1">
      <c r="B9" s="111"/>
      <c r="C9" s="108"/>
      <c r="D9" s="108"/>
      <c r="E9" s="108"/>
      <c r="F9" s="108"/>
      <c r="G9" s="108"/>
      <c r="H9" s="108"/>
      <c r="I9" s="107"/>
      <c r="J9" s="105"/>
    </row>
    <row r="10" spans="2:11" s="109" customFormat="1" ht="20.25" customHeight="1">
      <c r="C10" s="102" t="s">
        <v>153</v>
      </c>
      <c r="D10" s="105"/>
      <c r="E10" s="105"/>
      <c r="F10" s="105"/>
      <c r="G10" s="108"/>
      <c r="H10" s="105"/>
      <c r="I10" s="105"/>
      <c r="J10" s="105"/>
    </row>
    <row r="11" spans="2:11" s="109" customFormat="1" ht="12" customHeight="1">
      <c r="C11" s="104"/>
      <c r="D11" s="106"/>
      <c r="E11" s="106"/>
      <c r="F11" s="106"/>
      <c r="G11" s="106"/>
      <c r="H11" s="106"/>
      <c r="I11" s="106"/>
      <c r="J11" s="103" t="s">
        <v>155</v>
      </c>
    </row>
    <row r="12" spans="2:11" s="109" customFormat="1" ht="33" customHeight="1">
      <c r="B12" s="111"/>
      <c r="C12" s="144"/>
      <c r="D12" s="145" t="s">
        <v>227</v>
      </c>
      <c r="E12" s="145" t="s">
        <v>228</v>
      </c>
      <c r="F12" s="145" t="s">
        <v>229</v>
      </c>
      <c r="G12" s="145" t="s">
        <v>230</v>
      </c>
      <c r="H12" s="145" t="s">
        <v>231</v>
      </c>
      <c r="I12" s="145" t="s">
        <v>150</v>
      </c>
      <c r="J12" s="145" t="s">
        <v>232</v>
      </c>
      <c r="K12" s="110"/>
    </row>
    <row r="13" spans="2:11" s="109" customFormat="1" ht="12" customHeight="1">
      <c r="B13" s="111"/>
      <c r="C13" s="152" t="s">
        <v>48</v>
      </c>
      <c r="D13" s="152">
        <v>37.799999999999997</v>
      </c>
      <c r="E13" s="152">
        <v>22.6</v>
      </c>
      <c r="F13" s="153">
        <v>7</v>
      </c>
      <c r="G13" s="152">
        <v>6.3</v>
      </c>
      <c r="H13" s="152">
        <v>12.5</v>
      </c>
      <c r="I13" s="153">
        <v>1</v>
      </c>
      <c r="J13" s="152">
        <v>12.9</v>
      </c>
      <c r="K13" s="110"/>
    </row>
    <row r="14" spans="2:11" s="109" customFormat="1" ht="12" customHeight="1">
      <c r="B14" s="111"/>
      <c r="C14" s="146" t="s">
        <v>47</v>
      </c>
      <c r="D14" s="146">
        <v>37.4</v>
      </c>
      <c r="E14" s="146">
        <v>26.8</v>
      </c>
      <c r="F14" s="146">
        <v>6.5</v>
      </c>
      <c r="G14" s="146">
        <v>5.8</v>
      </c>
      <c r="H14" s="146">
        <v>12.5</v>
      </c>
      <c r="I14" s="146">
        <v>0.7</v>
      </c>
      <c r="J14" s="146">
        <v>10.3</v>
      </c>
      <c r="K14" s="110"/>
    </row>
    <row r="15" spans="2:11" s="109" customFormat="1" ht="12" customHeight="1">
      <c r="B15" s="111"/>
      <c r="C15" s="149" t="s">
        <v>151</v>
      </c>
      <c r="D15" s="151">
        <v>36.5</v>
      </c>
      <c r="E15" s="151">
        <v>24.7</v>
      </c>
      <c r="F15" s="151">
        <v>6.1</v>
      </c>
      <c r="G15" s="151">
        <v>6.4</v>
      </c>
      <c r="H15" s="151">
        <v>13.2</v>
      </c>
      <c r="I15" s="151">
        <v>1.1000000000000001</v>
      </c>
      <c r="J15" s="151">
        <v>12</v>
      </c>
      <c r="K15" s="110"/>
    </row>
    <row r="16" spans="2:11" s="109" customFormat="1" ht="12" customHeight="1">
      <c r="B16" s="111"/>
      <c r="C16" s="108"/>
      <c r="D16" s="108"/>
      <c r="E16" s="108"/>
      <c r="F16" s="108"/>
      <c r="G16" s="108"/>
      <c r="H16" s="108"/>
      <c r="I16" s="108"/>
      <c r="J16" s="108"/>
    </row>
    <row r="17" spans="2:10" s="109" customFormat="1" ht="18" customHeight="1">
      <c r="C17" s="102" t="s">
        <v>154</v>
      </c>
      <c r="D17" s="108"/>
      <c r="E17" s="108"/>
      <c r="F17" s="108"/>
      <c r="G17" s="108"/>
      <c r="H17" s="108"/>
      <c r="I17" s="108"/>
      <c r="J17" s="108"/>
    </row>
    <row r="18" spans="2:10" s="109" customFormat="1" ht="12" customHeight="1">
      <c r="C18" s="104"/>
      <c r="D18" s="106"/>
      <c r="E18" s="106"/>
      <c r="F18" s="106"/>
      <c r="G18" s="106"/>
      <c r="H18" s="103" t="s">
        <v>155</v>
      </c>
      <c r="I18" s="105"/>
      <c r="J18" s="105"/>
    </row>
    <row r="19" spans="2:10" s="109" customFormat="1" ht="33.75" customHeight="1">
      <c r="B19" s="111"/>
      <c r="C19" s="144"/>
      <c r="D19" s="145" t="s">
        <v>158</v>
      </c>
      <c r="E19" s="145" t="s">
        <v>159</v>
      </c>
      <c r="F19" s="145" t="s">
        <v>157</v>
      </c>
      <c r="G19" s="145" t="s">
        <v>160</v>
      </c>
      <c r="H19" s="145" t="s">
        <v>9</v>
      </c>
      <c r="I19" s="107"/>
      <c r="J19" s="105"/>
    </row>
    <row r="20" spans="2:10" s="109" customFormat="1" ht="12" customHeight="1">
      <c r="B20" s="111"/>
      <c r="C20" s="154" t="s">
        <v>48</v>
      </c>
      <c r="D20" s="154">
        <v>10.8</v>
      </c>
      <c r="E20" s="154">
        <v>15.9</v>
      </c>
      <c r="F20" s="154">
        <v>26.2</v>
      </c>
      <c r="G20" s="154">
        <v>20.8</v>
      </c>
      <c r="H20" s="154">
        <v>26.2</v>
      </c>
      <c r="I20" s="107"/>
      <c r="J20" s="105"/>
    </row>
    <row r="21" spans="2:10" s="109" customFormat="1" ht="12" customHeight="1">
      <c r="B21" s="111"/>
      <c r="C21" s="148" t="s">
        <v>47</v>
      </c>
      <c r="D21" s="148">
        <v>10.3</v>
      </c>
      <c r="E21" s="148">
        <v>20.399999999999999</v>
      </c>
      <c r="F21" s="148">
        <v>19.600000000000001</v>
      </c>
      <c r="G21" s="148">
        <v>23.4</v>
      </c>
      <c r="H21" s="148">
        <v>26.2</v>
      </c>
      <c r="I21" s="107"/>
      <c r="J21" s="105"/>
    </row>
    <row r="22" spans="2:10" s="109" customFormat="1" ht="12" customHeight="1">
      <c r="B22" s="111"/>
      <c r="C22" s="149" t="s">
        <v>151</v>
      </c>
      <c r="D22" s="151">
        <v>10.9</v>
      </c>
      <c r="E22" s="151">
        <v>18.600000000000001</v>
      </c>
      <c r="F22" s="151">
        <v>19.8</v>
      </c>
      <c r="G22" s="151">
        <v>20.7</v>
      </c>
      <c r="H22" s="151">
        <v>30</v>
      </c>
      <c r="I22" s="107"/>
      <c r="J22" s="105"/>
    </row>
    <row r="23" spans="2:10">
      <c r="C23" s="101"/>
      <c r="D23" s="101"/>
      <c r="E23" s="101"/>
      <c r="F23" s="101"/>
      <c r="G23" s="101"/>
      <c r="H23" s="101"/>
    </row>
  </sheetData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60197-54D2-4D10-B6F0-D27CAA8D72A5}">
  <dimension ref="A1:I24"/>
  <sheetViews>
    <sheetView workbookViewId="0">
      <selection sqref="A1:H3"/>
    </sheetView>
  </sheetViews>
  <sheetFormatPr defaultRowHeight="16.5"/>
  <sheetData>
    <row r="1" spans="1:8" ht="17.25" thickTop="1">
      <c r="A1" s="20"/>
      <c r="B1" s="16" t="s">
        <v>49</v>
      </c>
      <c r="C1" s="16" t="s">
        <v>50</v>
      </c>
      <c r="D1" s="16" t="s">
        <v>51</v>
      </c>
      <c r="E1" s="16" t="s">
        <v>52</v>
      </c>
      <c r="F1" s="16" t="s">
        <v>53</v>
      </c>
      <c r="G1" s="16" t="s">
        <v>54</v>
      </c>
      <c r="H1" s="17" t="s">
        <v>55</v>
      </c>
    </row>
    <row r="2" spans="1:8">
      <c r="A2" s="19" t="s">
        <v>48</v>
      </c>
      <c r="B2" s="127">
        <v>65.099999999999994</v>
      </c>
      <c r="C2" s="127">
        <v>33.9</v>
      </c>
      <c r="D2" s="127">
        <v>34.4</v>
      </c>
      <c r="E2" s="127">
        <v>25.5</v>
      </c>
      <c r="F2" s="127">
        <v>16.7</v>
      </c>
      <c r="G2" s="127">
        <v>3.2</v>
      </c>
      <c r="H2" s="128">
        <v>10.6</v>
      </c>
    </row>
    <row r="3" spans="1:8">
      <c r="A3" s="18" t="s">
        <v>47</v>
      </c>
      <c r="B3" s="125">
        <v>86.2</v>
      </c>
      <c r="C3" s="125">
        <v>34.799999999999997</v>
      </c>
      <c r="D3" s="125">
        <v>29.3</v>
      </c>
      <c r="E3" s="125">
        <v>33</v>
      </c>
      <c r="F3" s="125">
        <v>13.4</v>
      </c>
      <c r="G3" s="125">
        <v>0.5</v>
      </c>
      <c r="H3" s="126">
        <v>1.4</v>
      </c>
    </row>
    <row r="4" spans="1:8">
      <c r="A4" s="19"/>
      <c r="B4" s="127"/>
      <c r="C4" s="127"/>
      <c r="D4" s="127"/>
      <c r="E4" s="127"/>
      <c r="F4" s="127"/>
      <c r="G4" s="127"/>
      <c r="H4" s="128"/>
    </row>
    <row r="21" spans="1:9" ht="17.25" thickBot="1"/>
    <row r="22" spans="1:9" ht="39.75" thickTop="1">
      <c r="B22" s="16" t="s">
        <v>58</v>
      </c>
      <c r="C22" s="16" t="s">
        <v>59</v>
      </c>
      <c r="D22" s="16" t="s">
        <v>57</v>
      </c>
      <c r="E22" s="16" t="s">
        <v>60</v>
      </c>
      <c r="F22" s="16" t="s">
        <v>52</v>
      </c>
      <c r="G22" s="16" t="s">
        <v>56</v>
      </c>
      <c r="H22" s="16" t="s">
        <v>46</v>
      </c>
      <c r="I22" s="17" t="s">
        <v>55</v>
      </c>
    </row>
    <row r="23" spans="1:9">
      <c r="A23" s="19" t="s">
        <v>48</v>
      </c>
      <c r="B23" s="127">
        <v>53.3</v>
      </c>
      <c r="C23" s="127">
        <v>12.6</v>
      </c>
      <c r="D23" s="127">
        <v>9.3000000000000007</v>
      </c>
      <c r="E23" s="127">
        <v>11.1</v>
      </c>
      <c r="F23" s="127">
        <v>7</v>
      </c>
      <c r="G23" s="127">
        <v>2.4</v>
      </c>
      <c r="H23" s="127">
        <v>1.7</v>
      </c>
      <c r="I23" s="128">
        <v>2.6</v>
      </c>
    </row>
    <row r="24" spans="1:9">
      <c r="A24" s="18" t="s">
        <v>47</v>
      </c>
      <c r="B24" s="125">
        <v>49.2</v>
      </c>
      <c r="C24" s="125">
        <v>7.1</v>
      </c>
      <c r="D24" s="125">
        <v>4.4000000000000004</v>
      </c>
      <c r="E24" s="125">
        <v>5.7</v>
      </c>
      <c r="F24" s="125">
        <v>29.7</v>
      </c>
      <c r="G24" s="125">
        <v>2.2999999999999998</v>
      </c>
      <c r="H24" s="125">
        <v>1.1000000000000001</v>
      </c>
      <c r="I24" s="126">
        <v>0.4</v>
      </c>
    </row>
  </sheetData>
  <phoneticPr fontId="6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1561-368D-41DF-89C5-140BDED0C96A}">
  <dimension ref="B1:Y54"/>
  <sheetViews>
    <sheetView topLeftCell="A3" workbookViewId="0">
      <selection activeCell="L49" sqref="L49"/>
    </sheetView>
  </sheetViews>
  <sheetFormatPr defaultRowHeight="16.5"/>
  <cols>
    <col min="4" max="7" width="29.625" customWidth="1"/>
  </cols>
  <sheetData>
    <row r="1" spans="2:25" ht="18" thickTop="1" thickBot="1">
      <c r="E1" s="25" t="s">
        <v>176</v>
      </c>
      <c r="F1" s="25" t="s">
        <v>177</v>
      </c>
      <c r="G1" s="25" t="s">
        <v>178</v>
      </c>
      <c r="H1" s="25" t="s">
        <v>179</v>
      </c>
      <c r="I1" s="25" t="s">
        <v>180</v>
      </c>
      <c r="J1" s="25" t="s">
        <v>181</v>
      </c>
      <c r="K1" s="25" t="s">
        <v>182</v>
      </c>
      <c r="L1" s="25" t="s">
        <v>183</v>
      </c>
      <c r="M1" s="25" t="s">
        <v>184</v>
      </c>
      <c r="N1" s="30" t="s">
        <v>185</v>
      </c>
      <c r="O1" s="25" t="s">
        <v>186</v>
      </c>
      <c r="P1" s="25" t="s">
        <v>187</v>
      </c>
      <c r="Q1" s="25" t="s">
        <v>188</v>
      </c>
      <c r="R1" s="25" t="s">
        <v>189</v>
      </c>
      <c r="S1" s="25" t="s">
        <v>190</v>
      </c>
      <c r="T1" s="25" t="s">
        <v>191</v>
      </c>
      <c r="U1" s="25" t="s">
        <v>192</v>
      </c>
      <c r="V1" s="25" t="s">
        <v>193</v>
      </c>
      <c r="W1" s="25" t="s">
        <v>194</v>
      </c>
      <c r="X1" s="114" t="s">
        <v>106</v>
      </c>
      <c r="Y1" s="114" t="s">
        <v>55</v>
      </c>
    </row>
    <row r="2" spans="2:25" ht="17.25" thickTop="1">
      <c r="B2" s="45" t="s">
        <v>166</v>
      </c>
      <c r="C2" s="18" t="s">
        <v>47</v>
      </c>
      <c r="D2" s="48">
        <v>-982</v>
      </c>
      <c r="E2" s="48">
        <v>9.8000000000000007</v>
      </c>
      <c r="F2" s="48">
        <v>29.9</v>
      </c>
      <c r="G2" s="48">
        <v>1.3</v>
      </c>
      <c r="H2" s="48">
        <v>4.5</v>
      </c>
      <c r="I2" s="48">
        <v>19.399999999999999</v>
      </c>
      <c r="J2" s="48">
        <v>6.5</v>
      </c>
      <c r="K2" s="48">
        <v>0.7</v>
      </c>
      <c r="L2" s="48">
        <v>14.8</v>
      </c>
      <c r="M2" s="48">
        <v>1.1000000000000001</v>
      </c>
      <c r="N2" s="112">
        <v>13.9</v>
      </c>
      <c r="O2" s="48">
        <v>0.4</v>
      </c>
      <c r="P2" s="48">
        <v>0.9</v>
      </c>
      <c r="Q2" s="48">
        <v>17.3</v>
      </c>
      <c r="R2" s="48">
        <v>4.8</v>
      </c>
      <c r="S2" s="48">
        <v>6.9</v>
      </c>
      <c r="T2" s="48">
        <v>2.4</v>
      </c>
      <c r="U2" s="48">
        <v>3.7</v>
      </c>
      <c r="V2" s="48">
        <v>0.4</v>
      </c>
      <c r="W2" s="48">
        <v>7.1</v>
      </c>
      <c r="X2" s="48">
        <v>3.4</v>
      </c>
      <c r="Y2" s="112">
        <v>21.3</v>
      </c>
    </row>
    <row r="3" spans="2:25">
      <c r="B3" s="55" t="s">
        <v>167</v>
      </c>
      <c r="C3" s="19" t="s">
        <v>48</v>
      </c>
      <c r="D3" s="44">
        <v>-275</v>
      </c>
      <c r="E3" s="44">
        <v>13.9</v>
      </c>
      <c r="F3" s="44">
        <v>18.600000000000001</v>
      </c>
      <c r="G3" s="44">
        <v>3.1</v>
      </c>
      <c r="H3" s="44">
        <v>5.2</v>
      </c>
      <c r="I3" s="44">
        <v>10</v>
      </c>
      <c r="J3" s="44">
        <v>3.9</v>
      </c>
      <c r="K3" s="44">
        <v>1.7</v>
      </c>
      <c r="L3" s="44">
        <v>14.2</v>
      </c>
      <c r="M3" s="44">
        <v>3.4</v>
      </c>
      <c r="N3" s="113">
        <v>5</v>
      </c>
      <c r="O3" s="44">
        <v>2</v>
      </c>
      <c r="P3" s="44">
        <v>1.5</v>
      </c>
      <c r="Q3" s="44">
        <v>10.199999999999999</v>
      </c>
      <c r="R3" s="44">
        <v>3.2</v>
      </c>
      <c r="S3" s="44">
        <v>4.2</v>
      </c>
      <c r="T3" s="44">
        <v>2.7</v>
      </c>
      <c r="U3" s="44">
        <v>1</v>
      </c>
      <c r="V3" s="44">
        <v>0.3</v>
      </c>
      <c r="W3" s="44">
        <v>6.6</v>
      </c>
      <c r="X3" s="44">
        <v>10</v>
      </c>
      <c r="Y3" s="113">
        <v>32.9</v>
      </c>
    </row>
    <row r="6" spans="2:25" ht="17.25" thickBot="1">
      <c r="C6" s="18" t="s">
        <v>47</v>
      </c>
      <c r="D6" s="19" t="s">
        <v>48</v>
      </c>
      <c r="H6" s="18" t="s">
        <v>47</v>
      </c>
      <c r="I6" s="19" t="s">
        <v>48</v>
      </c>
    </row>
    <row r="7" spans="2:25" ht="18" thickTop="1" thickBot="1">
      <c r="B7" s="25" t="s">
        <v>55</v>
      </c>
      <c r="C7" s="48">
        <v>21.3</v>
      </c>
      <c r="D7" s="44">
        <v>32.9</v>
      </c>
      <c r="E7" t="s">
        <v>55</v>
      </c>
      <c r="H7" s="48">
        <v>29.9</v>
      </c>
      <c r="I7" s="44">
        <v>18.600000000000001</v>
      </c>
      <c r="J7" s="121" t="s">
        <v>195</v>
      </c>
    </row>
    <row r="8" spans="2:25" ht="18" thickTop="1" thickBot="1">
      <c r="B8" s="25" t="s">
        <v>177</v>
      </c>
      <c r="C8" s="48">
        <v>29.9</v>
      </c>
      <c r="D8" s="44">
        <v>18.600000000000001</v>
      </c>
      <c r="E8" s="121" t="s">
        <v>195</v>
      </c>
      <c r="H8" s="48">
        <v>21.3</v>
      </c>
      <c r="I8" s="44">
        <v>32.9</v>
      </c>
      <c r="J8" t="s">
        <v>55</v>
      </c>
    </row>
    <row r="9" spans="2:25" ht="18" thickTop="1" thickBot="1">
      <c r="B9" s="25" t="s">
        <v>183</v>
      </c>
      <c r="C9" s="48">
        <v>14.8</v>
      </c>
      <c r="D9" s="44">
        <v>14.2</v>
      </c>
      <c r="E9" s="121" t="s">
        <v>196</v>
      </c>
      <c r="H9" s="48">
        <v>19.399999999999999</v>
      </c>
      <c r="I9" s="44">
        <v>10</v>
      </c>
      <c r="J9" s="121" t="s">
        <v>199</v>
      </c>
    </row>
    <row r="10" spans="2:25" ht="18" thickTop="1" thickBot="1">
      <c r="B10" s="25" t="s">
        <v>176</v>
      </c>
      <c r="C10" s="48">
        <v>9.8000000000000007</v>
      </c>
      <c r="D10" s="44">
        <v>13.9</v>
      </c>
      <c r="E10" s="121" t="s">
        <v>197</v>
      </c>
      <c r="H10" s="48">
        <v>17.3</v>
      </c>
      <c r="I10" s="44">
        <v>10.199999999999999</v>
      </c>
      <c r="J10" s="121" t="s">
        <v>198</v>
      </c>
    </row>
    <row r="11" spans="2:25" ht="18" thickTop="1" thickBot="1">
      <c r="B11" s="25" t="s">
        <v>188</v>
      </c>
      <c r="C11" s="48">
        <v>17.3</v>
      </c>
      <c r="D11" s="44">
        <v>10.199999999999999</v>
      </c>
      <c r="E11" s="121" t="s">
        <v>198</v>
      </c>
      <c r="H11" s="48">
        <v>14.8</v>
      </c>
      <c r="I11" s="44">
        <v>14.2</v>
      </c>
      <c r="J11" s="121" t="s">
        <v>196</v>
      </c>
    </row>
    <row r="12" spans="2:25" ht="18" thickTop="1" thickBot="1">
      <c r="B12" s="25" t="s">
        <v>180</v>
      </c>
      <c r="C12" s="48">
        <v>19.399999999999999</v>
      </c>
      <c r="D12" s="44">
        <v>10</v>
      </c>
      <c r="E12" s="121" t="s">
        <v>199</v>
      </c>
      <c r="H12" s="48">
        <v>13.9</v>
      </c>
      <c r="I12" s="44">
        <v>5</v>
      </c>
      <c r="J12" s="121" t="s">
        <v>202</v>
      </c>
    </row>
    <row r="13" spans="2:25" ht="18" thickTop="1" thickBot="1">
      <c r="B13" s="25" t="s">
        <v>106</v>
      </c>
      <c r="C13" s="48">
        <v>3.4</v>
      </c>
      <c r="D13" s="44">
        <v>10</v>
      </c>
      <c r="E13" s="25" t="s">
        <v>106</v>
      </c>
      <c r="H13" s="48">
        <v>9.8000000000000007</v>
      </c>
      <c r="I13" s="44">
        <v>13.9</v>
      </c>
      <c r="J13" s="123" t="s">
        <v>197</v>
      </c>
    </row>
    <row r="14" spans="2:25" ht="18" thickTop="1" thickBot="1">
      <c r="B14" s="25" t="s">
        <v>194</v>
      </c>
      <c r="C14" s="48">
        <v>7.1</v>
      </c>
      <c r="D14" s="44">
        <v>6.6</v>
      </c>
      <c r="E14" s="121" t="s">
        <v>200</v>
      </c>
      <c r="H14" s="48">
        <v>7.1</v>
      </c>
      <c r="I14" s="44">
        <v>6.6</v>
      </c>
      <c r="J14" s="121" t="s">
        <v>200</v>
      </c>
    </row>
    <row r="15" spans="2:25" ht="18" thickTop="1" thickBot="1">
      <c r="B15" s="25" t="s">
        <v>179</v>
      </c>
      <c r="C15" s="48">
        <v>4.5</v>
      </c>
      <c r="D15" s="44">
        <v>5.2</v>
      </c>
      <c r="E15" s="121" t="s">
        <v>201</v>
      </c>
      <c r="H15" s="48">
        <v>6.9</v>
      </c>
      <c r="I15" s="44">
        <v>4.2</v>
      </c>
      <c r="J15" s="121" t="s">
        <v>203</v>
      </c>
    </row>
    <row r="16" spans="2:25" ht="18" thickTop="1" thickBot="1">
      <c r="B16" s="30" t="s">
        <v>185</v>
      </c>
      <c r="C16" s="112">
        <v>13.9</v>
      </c>
      <c r="D16" s="113">
        <v>5</v>
      </c>
      <c r="E16" s="121" t="s">
        <v>202</v>
      </c>
      <c r="H16" s="112">
        <v>6.5</v>
      </c>
      <c r="I16" s="113">
        <v>3.9</v>
      </c>
      <c r="J16" s="121" t="s">
        <v>204</v>
      </c>
    </row>
    <row r="17" spans="2:10" ht="18" thickTop="1" thickBot="1">
      <c r="B17" s="25" t="s">
        <v>190</v>
      </c>
      <c r="C17" s="48">
        <v>6.9</v>
      </c>
      <c r="D17" s="44">
        <v>4.2</v>
      </c>
      <c r="E17" s="121" t="s">
        <v>203</v>
      </c>
      <c r="H17" s="48">
        <v>4.8</v>
      </c>
      <c r="I17" s="44">
        <v>3.2</v>
      </c>
      <c r="J17" s="121" t="s">
        <v>206</v>
      </c>
    </row>
    <row r="18" spans="2:10" ht="18" thickTop="1" thickBot="1">
      <c r="B18" s="25" t="s">
        <v>181</v>
      </c>
      <c r="C18" s="48">
        <v>6.5</v>
      </c>
      <c r="D18" s="44">
        <v>3.9</v>
      </c>
      <c r="E18" s="121" t="s">
        <v>204</v>
      </c>
      <c r="H18" s="48">
        <v>4.5</v>
      </c>
      <c r="I18" s="44">
        <v>5.2</v>
      </c>
      <c r="J18" s="121" t="s">
        <v>201</v>
      </c>
    </row>
    <row r="19" spans="2:10" ht="18" thickTop="1" thickBot="1">
      <c r="B19" s="25" t="s">
        <v>184</v>
      </c>
      <c r="C19" s="48">
        <v>1.1000000000000001</v>
      </c>
      <c r="D19" s="44">
        <v>3.4</v>
      </c>
      <c r="E19" s="121" t="s">
        <v>205</v>
      </c>
      <c r="H19" s="48">
        <v>3.7</v>
      </c>
      <c r="I19" s="44">
        <v>1</v>
      </c>
      <c r="J19" s="121" t="s">
        <v>212</v>
      </c>
    </row>
    <row r="20" spans="2:10" ht="18" thickTop="1" thickBot="1">
      <c r="B20" s="25" t="s">
        <v>189</v>
      </c>
      <c r="C20" s="48">
        <v>4.8</v>
      </c>
      <c r="D20" s="44">
        <v>3.2</v>
      </c>
      <c r="E20" s="121" t="s">
        <v>206</v>
      </c>
      <c r="H20" s="48">
        <v>3.4</v>
      </c>
      <c r="I20" s="44">
        <v>10</v>
      </c>
      <c r="J20" s="122" t="s">
        <v>106</v>
      </c>
    </row>
    <row r="21" spans="2:10" ht="18" thickTop="1" thickBot="1">
      <c r="B21" s="25" t="s">
        <v>178</v>
      </c>
      <c r="C21" s="48">
        <v>1.3</v>
      </c>
      <c r="D21" s="44">
        <v>3.1</v>
      </c>
      <c r="E21" s="121" t="s">
        <v>207</v>
      </c>
      <c r="H21" s="48">
        <v>2.4</v>
      </c>
      <c r="I21" s="44">
        <v>2.7</v>
      </c>
      <c r="J21" s="121" t="s">
        <v>208</v>
      </c>
    </row>
    <row r="22" spans="2:10" ht="18" thickTop="1" thickBot="1">
      <c r="B22" s="25" t="s">
        <v>191</v>
      </c>
      <c r="C22" s="48">
        <v>2.4</v>
      </c>
      <c r="D22" s="44">
        <v>2.7</v>
      </c>
      <c r="E22" s="121" t="s">
        <v>208</v>
      </c>
      <c r="H22" s="48">
        <v>1.3</v>
      </c>
      <c r="I22" s="44">
        <v>3.1</v>
      </c>
      <c r="J22" s="121" t="s">
        <v>207</v>
      </c>
    </row>
    <row r="23" spans="2:10" ht="18" thickTop="1" thickBot="1">
      <c r="B23" s="25" t="s">
        <v>186</v>
      </c>
      <c r="C23" s="48">
        <v>0.4</v>
      </c>
      <c r="D23" s="44">
        <v>2</v>
      </c>
      <c r="E23" s="121" t="s">
        <v>209</v>
      </c>
      <c r="H23" s="48">
        <v>1.1000000000000001</v>
      </c>
      <c r="I23" s="44">
        <v>3.4</v>
      </c>
      <c r="J23" s="121" t="s">
        <v>205</v>
      </c>
    </row>
    <row r="24" spans="2:10" ht="18" thickTop="1" thickBot="1">
      <c r="B24" s="25" t="s">
        <v>182</v>
      </c>
      <c r="C24" s="48">
        <v>0.7</v>
      </c>
      <c r="D24" s="44">
        <v>1.7</v>
      </c>
      <c r="E24" s="121" t="s">
        <v>210</v>
      </c>
      <c r="H24" s="48">
        <v>0.9</v>
      </c>
      <c r="I24" s="44">
        <v>1.5</v>
      </c>
      <c r="J24" s="121" t="s">
        <v>211</v>
      </c>
    </row>
    <row r="25" spans="2:10" ht="18" thickTop="1" thickBot="1">
      <c r="B25" s="25" t="s">
        <v>187</v>
      </c>
      <c r="C25" s="48">
        <v>0.9</v>
      </c>
      <c r="D25" s="44">
        <v>1.5</v>
      </c>
      <c r="E25" s="121" t="s">
        <v>211</v>
      </c>
      <c r="H25" s="48">
        <v>0.7</v>
      </c>
      <c r="I25" s="44">
        <v>1.7</v>
      </c>
      <c r="J25" s="121" t="s">
        <v>210</v>
      </c>
    </row>
    <row r="26" spans="2:10" ht="17.25" thickTop="1">
      <c r="B26" s="114" t="s">
        <v>192</v>
      </c>
      <c r="C26" s="48">
        <v>3.7</v>
      </c>
      <c r="D26" s="44">
        <v>1</v>
      </c>
      <c r="E26" s="121" t="s">
        <v>212</v>
      </c>
      <c r="H26" s="48">
        <v>0.4</v>
      </c>
      <c r="I26" s="44">
        <v>2</v>
      </c>
      <c r="J26" s="121" t="s">
        <v>209</v>
      </c>
    </row>
    <row r="27" spans="2:10">
      <c r="B27" s="114" t="s">
        <v>193</v>
      </c>
      <c r="C27" s="112">
        <v>0.4</v>
      </c>
      <c r="D27" s="113">
        <v>0.3</v>
      </c>
      <c r="E27" s="121" t="s">
        <v>175</v>
      </c>
      <c r="H27" s="112">
        <v>0.4</v>
      </c>
      <c r="I27" s="113">
        <v>0.3</v>
      </c>
      <c r="J27" s="121" t="s">
        <v>175</v>
      </c>
    </row>
    <row r="31" spans="2:10">
      <c r="D31" s="19" t="s">
        <v>48</v>
      </c>
      <c r="H31" s="18" t="s">
        <v>47</v>
      </c>
      <c r="I31" s="19"/>
    </row>
    <row r="32" spans="2:10">
      <c r="D32" s="44">
        <v>18.600000000000001</v>
      </c>
      <c r="E32" s="121" t="s">
        <v>195</v>
      </c>
      <c r="H32" s="48">
        <v>29.9</v>
      </c>
      <c r="I32" s="121" t="s">
        <v>195</v>
      </c>
      <c r="J32" s="121"/>
    </row>
    <row r="33" spans="4:10">
      <c r="D33" s="44">
        <v>14.2</v>
      </c>
      <c r="E33" s="121" t="s">
        <v>196</v>
      </c>
      <c r="H33" s="48">
        <v>19.399999999999999</v>
      </c>
      <c r="I33" s="121" t="s">
        <v>199</v>
      </c>
      <c r="J33" s="121"/>
    </row>
    <row r="34" spans="4:10">
      <c r="D34" s="44">
        <v>13.9</v>
      </c>
      <c r="E34" s="121" t="s">
        <v>197</v>
      </c>
      <c r="H34" s="48">
        <v>17.3</v>
      </c>
      <c r="I34" s="121" t="s">
        <v>198</v>
      </c>
      <c r="J34" s="121"/>
    </row>
    <row r="35" spans="4:10">
      <c r="D35" s="44">
        <v>10.199999999999999</v>
      </c>
      <c r="E35" s="121" t="s">
        <v>198</v>
      </c>
      <c r="H35" s="48">
        <v>14.8</v>
      </c>
      <c r="I35" s="121" t="s">
        <v>196</v>
      </c>
      <c r="J35" s="121"/>
    </row>
    <row r="36" spans="4:10" ht="17.25" thickBot="1">
      <c r="D36" s="44">
        <v>10</v>
      </c>
      <c r="E36" s="121" t="s">
        <v>199</v>
      </c>
      <c r="H36" s="48">
        <v>13.9</v>
      </c>
      <c r="I36" s="121" t="s">
        <v>202</v>
      </c>
      <c r="J36" s="121"/>
    </row>
    <row r="37" spans="4:10" ht="18" thickTop="1" thickBot="1">
      <c r="D37" s="44">
        <v>6.6</v>
      </c>
      <c r="E37" s="121" t="s">
        <v>200</v>
      </c>
      <c r="H37" s="48">
        <v>9.8000000000000007</v>
      </c>
      <c r="I37" s="123" t="s">
        <v>197</v>
      </c>
      <c r="J37" s="123"/>
    </row>
    <row r="38" spans="4:10" ht="17.25" thickTop="1">
      <c r="D38" s="44">
        <v>5.2</v>
      </c>
      <c r="E38" s="121" t="s">
        <v>201</v>
      </c>
      <c r="H38" s="48">
        <v>7.1</v>
      </c>
      <c r="I38" s="121" t="s">
        <v>200</v>
      </c>
      <c r="J38" s="121"/>
    </row>
    <row r="39" spans="4:10">
      <c r="D39" s="113">
        <v>5</v>
      </c>
      <c r="E39" s="121" t="s">
        <v>202</v>
      </c>
      <c r="H39" s="48">
        <v>6.9</v>
      </c>
      <c r="I39" s="121" t="s">
        <v>203</v>
      </c>
      <c r="J39" s="121"/>
    </row>
    <row r="40" spans="4:10">
      <c r="H40" s="112">
        <v>6.5</v>
      </c>
      <c r="I40" s="121" t="s">
        <v>204</v>
      </c>
      <c r="J40" s="121"/>
    </row>
    <row r="43" spans="4:10">
      <c r="D43" s="71"/>
      <c r="E43" s="71"/>
      <c r="F43" s="71"/>
      <c r="G43" s="71"/>
    </row>
    <row r="45" spans="4:10">
      <c r="G45" s="71" t="s">
        <v>174</v>
      </c>
    </row>
    <row r="46" spans="4:10" ht="19.5">
      <c r="D46" s="220" t="s">
        <v>48</v>
      </c>
      <c r="E46" s="220"/>
      <c r="F46" s="221" t="s">
        <v>141</v>
      </c>
      <c r="G46" s="221"/>
    </row>
    <row r="47" spans="4:10">
      <c r="D47" s="162" t="s">
        <v>195</v>
      </c>
      <c r="E47" s="163">
        <v>18.600000000000001</v>
      </c>
      <c r="F47" s="162" t="s">
        <v>195</v>
      </c>
      <c r="G47" s="163">
        <v>29.9</v>
      </c>
    </row>
    <row r="48" spans="4:10">
      <c r="D48" s="162" t="s">
        <v>215</v>
      </c>
      <c r="E48" s="163">
        <v>14.2</v>
      </c>
      <c r="F48" s="162" t="s">
        <v>213</v>
      </c>
      <c r="G48" s="163">
        <v>19.399999999999999</v>
      </c>
    </row>
    <row r="49" spans="4:7">
      <c r="D49" s="162" t="s">
        <v>217</v>
      </c>
      <c r="E49" s="163">
        <v>13.9</v>
      </c>
      <c r="F49" s="162" t="s">
        <v>214</v>
      </c>
      <c r="G49" s="163">
        <v>17.3</v>
      </c>
    </row>
    <row r="50" spans="4:7">
      <c r="D50" s="162" t="s">
        <v>214</v>
      </c>
      <c r="E50" s="163">
        <v>10.199999999999999</v>
      </c>
      <c r="F50" s="162" t="s">
        <v>215</v>
      </c>
      <c r="G50" s="163">
        <v>14.8</v>
      </c>
    </row>
    <row r="51" spans="4:7">
      <c r="D51" s="162" t="s">
        <v>213</v>
      </c>
      <c r="E51" s="164">
        <v>10</v>
      </c>
      <c r="F51" s="162" t="s">
        <v>216</v>
      </c>
      <c r="G51" s="163">
        <v>13.9</v>
      </c>
    </row>
    <row r="52" spans="4:7">
      <c r="D52" s="162" t="s">
        <v>218</v>
      </c>
      <c r="E52" s="163">
        <v>6.6</v>
      </c>
      <c r="F52" s="162" t="s">
        <v>217</v>
      </c>
      <c r="G52" s="163">
        <v>9.8000000000000007</v>
      </c>
    </row>
    <row r="53" spans="4:7">
      <c r="D53" s="162" t="s">
        <v>220</v>
      </c>
      <c r="E53" s="163">
        <v>5.2</v>
      </c>
      <c r="F53" s="162" t="s">
        <v>218</v>
      </c>
      <c r="G53" s="163">
        <v>7.1</v>
      </c>
    </row>
    <row r="54" spans="4:7">
      <c r="D54" s="162" t="s">
        <v>216</v>
      </c>
      <c r="E54" s="164">
        <v>5</v>
      </c>
      <c r="F54" s="162" t="s">
        <v>219</v>
      </c>
      <c r="G54" s="163">
        <v>6.9</v>
      </c>
    </row>
  </sheetData>
  <sortState xmlns:xlrd2="http://schemas.microsoft.com/office/spreadsheetml/2017/richdata2" ref="H7:J27">
    <sortCondition descending="1" ref="H7:H27"/>
  </sortState>
  <mergeCells count="2">
    <mergeCell ref="D46:E46"/>
    <mergeCell ref="F46:G46"/>
  </mergeCells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28254-5B2A-409A-8709-7733F5E449C8}">
  <dimension ref="A3:G33"/>
  <sheetViews>
    <sheetView topLeftCell="A21" workbookViewId="0">
      <selection activeCell="P30" sqref="P30"/>
    </sheetView>
  </sheetViews>
  <sheetFormatPr defaultRowHeight="16.5"/>
  <sheetData>
    <row r="3" spans="1:7" ht="17.25" thickBot="1"/>
    <row r="4" spans="1:7" ht="18" thickTop="1" thickBot="1">
      <c r="A4" s="27"/>
      <c r="B4" s="26" t="s">
        <v>61</v>
      </c>
      <c r="C4" s="26" t="s">
        <v>62</v>
      </c>
      <c r="D4" s="26" t="s">
        <v>63</v>
      </c>
      <c r="E4" s="26" t="s">
        <v>64</v>
      </c>
      <c r="F4" s="26" t="s">
        <v>65</v>
      </c>
      <c r="G4" s="26" t="s">
        <v>66</v>
      </c>
    </row>
    <row r="5" spans="1:7" ht="17.25" thickTop="1">
      <c r="A5" s="19" t="s">
        <v>48</v>
      </c>
      <c r="B5" s="29">
        <v>4.2</v>
      </c>
      <c r="C5" s="29">
        <v>6</v>
      </c>
      <c r="D5" s="29">
        <v>5.5</v>
      </c>
      <c r="E5" s="29">
        <v>5.4</v>
      </c>
      <c r="F5" s="29">
        <v>5.4</v>
      </c>
      <c r="G5" s="29">
        <v>4.3</v>
      </c>
    </row>
    <row r="6" spans="1:7">
      <c r="A6" s="18" t="s">
        <v>47</v>
      </c>
      <c r="B6" s="28">
        <v>5.5</v>
      </c>
      <c r="C6" s="28">
        <v>6.2</v>
      </c>
      <c r="D6" s="28">
        <v>6.9</v>
      </c>
      <c r="E6" s="28">
        <v>3.4</v>
      </c>
      <c r="F6" s="28">
        <v>6.2</v>
      </c>
      <c r="G6" s="28">
        <v>2.4</v>
      </c>
    </row>
    <row r="21" spans="1:4" ht="17.25" thickBot="1"/>
    <row r="22" spans="1:4" ht="27.75" thickTop="1" thickBot="1">
      <c r="A22" s="31"/>
      <c r="B22" s="25" t="s">
        <v>67</v>
      </c>
      <c r="C22" s="25" t="s">
        <v>68</v>
      </c>
      <c r="D22" s="30" t="s">
        <v>69</v>
      </c>
    </row>
    <row r="23" spans="1:4" ht="17.25" thickTop="1">
      <c r="A23" s="19" t="s">
        <v>48</v>
      </c>
      <c r="B23" s="127">
        <v>25.6</v>
      </c>
      <c r="C23" s="127">
        <v>57.7</v>
      </c>
      <c r="D23" s="128">
        <v>16.7</v>
      </c>
    </row>
    <row r="24" spans="1:4">
      <c r="A24" s="18" t="s">
        <v>47</v>
      </c>
      <c r="B24" s="125">
        <v>66.5</v>
      </c>
      <c r="C24" s="125">
        <v>25</v>
      </c>
      <c r="D24" s="126">
        <v>8.5</v>
      </c>
    </row>
    <row r="26" spans="1:4" ht="17.25" thickBot="1"/>
    <row r="27" spans="1:4" ht="18" thickTop="1" thickBot="1">
      <c r="A27" s="31"/>
      <c r="B27" s="25" t="s">
        <v>70</v>
      </c>
      <c r="C27" s="25" t="s">
        <v>71</v>
      </c>
      <c r="D27" s="30" t="s">
        <v>69</v>
      </c>
    </row>
    <row r="28" spans="1:4" ht="17.25" thickTop="1">
      <c r="A28" s="19" t="s">
        <v>48</v>
      </c>
      <c r="B28" s="127">
        <v>54.3</v>
      </c>
      <c r="C28" s="127">
        <v>28.4</v>
      </c>
      <c r="D28" s="128">
        <v>17.3</v>
      </c>
    </row>
    <row r="29" spans="1:4">
      <c r="A29" s="18" t="s">
        <v>47</v>
      </c>
      <c r="B29" s="125">
        <v>83</v>
      </c>
      <c r="C29" s="125">
        <v>9.1</v>
      </c>
      <c r="D29" s="126">
        <v>7.9</v>
      </c>
    </row>
    <row r="30" spans="1:4" ht="17.25" thickBot="1"/>
    <row r="31" spans="1:4" ht="18" thickTop="1" thickBot="1">
      <c r="A31" s="31"/>
      <c r="B31" s="25"/>
      <c r="C31" s="25"/>
      <c r="D31" s="30"/>
    </row>
    <row r="32" spans="1:4" ht="17.25" thickTop="1">
      <c r="A32" s="18"/>
      <c r="B32" s="21"/>
      <c r="C32" s="21"/>
      <c r="D32" s="22"/>
    </row>
    <row r="33" spans="1:4">
      <c r="A33" s="19"/>
      <c r="B33" s="23"/>
      <c r="C33" s="23"/>
      <c r="D33" s="24"/>
    </row>
  </sheetData>
  <phoneticPr fontId="6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8C6E-BBB2-4615-A579-C2ECFB5C8ABD}">
  <dimension ref="C2:L22"/>
  <sheetViews>
    <sheetView workbookViewId="0">
      <selection activeCell="I23" sqref="I23"/>
    </sheetView>
  </sheetViews>
  <sheetFormatPr defaultRowHeight="16.5"/>
  <cols>
    <col min="1" max="3" width="9" style="96"/>
    <col min="4" max="11" width="14.625" style="117" customWidth="1"/>
    <col min="12" max="16384" width="9" style="96"/>
  </cols>
  <sheetData>
    <row r="2" spans="3:12" ht="15" customHeight="1">
      <c r="D2" s="102" t="s">
        <v>170</v>
      </c>
    </row>
    <row r="3" spans="3:12" ht="15" customHeight="1">
      <c r="D3" s="118"/>
      <c r="E3" s="118"/>
      <c r="F3" s="118"/>
      <c r="G3" s="118"/>
      <c r="H3" s="118"/>
      <c r="I3" s="118"/>
      <c r="J3" s="118"/>
      <c r="K3" s="103" t="s">
        <v>155</v>
      </c>
    </row>
    <row r="4" spans="3:12" ht="30" customHeight="1">
      <c r="C4" s="115"/>
      <c r="D4" s="138"/>
      <c r="E4" s="138" t="s">
        <v>233</v>
      </c>
      <c r="F4" s="138" t="s">
        <v>234</v>
      </c>
      <c r="G4" s="138" t="s">
        <v>235</v>
      </c>
      <c r="H4" s="138" t="s">
        <v>236</v>
      </c>
      <c r="I4" s="138" t="s">
        <v>237</v>
      </c>
      <c r="J4" s="138" t="s">
        <v>168</v>
      </c>
      <c r="K4" s="138" t="s">
        <v>81</v>
      </c>
      <c r="L4" s="116"/>
    </row>
    <row r="5" spans="3:12" ht="15" customHeight="1">
      <c r="C5" s="115"/>
      <c r="D5" s="155" t="s">
        <v>48</v>
      </c>
      <c r="E5" s="157">
        <v>9.6</v>
      </c>
      <c r="F5" s="157">
        <v>33</v>
      </c>
      <c r="G5" s="157">
        <v>30.6</v>
      </c>
      <c r="H5" s="157">
        <v>7.6</v>
      </c>
      <c r="I5" s="157">
        <v>19.2</v>
      </c>
      <c r="J5" s="158">
        <v>42.6</v>
      </c>
      <c r="K5" s="158">
        <v>38.299999999999997</v>
      </c>
      <c r="L5" s="116"/>
    </row>
    <row r="6" spans="3:12" ht="15" customHeight="1">
      <c r="C6" s="115"/>
      <c r="D6" s="139" t="s">
        <v>47</v>
      </c>
      <c r="E6" s="159">
        <v>4.4000000000000004</v>
      </c>
      <c r="F6" s="159">
        <v>20</v>
      </c>
      <c r="G6" s="159">
        <v>47.8</v>
      </c>
      <c r="H6" s="159">
        <v>16.899999999999999</v>
      </c>
      <c r="I6" s="159">
        <v>11</v>
      </c>
      <c r="J6" s="160">
        <v>24.3</v>
      </c>
      <c r="K6" s="160">
        <v>64.7</v>
      </c>
      <c r="L6" s="116"/>
    </row>
    <row r="7" spans="3:12" ht="15" customHeight="1">
      <c r="C7" s="115"/>
      <c r="D7" s="156" t="s">
        <v>151</v>
      </c>
      <c r="E7" s="161">
        <v>24</v>
      </c>
      <c r="F7" s="161">
        <v>23.8</v>
      </c>
      <c r="G7" s="161">
        <v>29.4</v>
      </c>
      <c r="H7" s="161">
        <v>10</v>
      </c>
      <c r="I7" s="161">
        <v>12.8</v>
      </c>
      <c r="J7" s="160">
        <v>47.8</v>
      </c>
      <c r="K7" s="160">
        <v>39.4</v>
      </c>
      <c r="L7" s="116"/>
    </row>
    <row r="8" spans="3:12" ht="15" customHeight="1">
      <c r="D8" s="120"/>
      <c r="E8" s="120"/>
      <c r="F8" s="120"/>
      <c r="G8" s="120"/>
      <c r="H8" s="120"/>
      <c r="I8" s="120"/>
      <c r="J8" s="120"/>
      <c r="K8" s="120"/>
    </row>
    <row r="9" spans="3:12" ht="15" customHeight="1">
      <c r="D9" s="102" t="s">
        <v>171</v>
      </c>
    </row>
    <row r="10" spans="3:12" ht="15" customHeight="1">
      <c r="D10" s="118"/>
      <c r="E10" s="118"/>
      <c r="F10" s="118"/>
      <c r="G10" s="118"/>
      <c r="H10" s="118"/>
      <c r="I10" s="118"/>
      <c r="J10" s="118"/>
      <c r="K10" s="103" t="s">
        <v>155</v>
      </c>
    </row>
    <row r="11" spans="3:12" ht="45" customHeight="1">
      <c r="C11" s="115"/>
      <c r="D11" s="138"/>
      <c r="E11" s="138" t="s">
        <v>238</v>
      </c>
      <c r="F11" s="138" t="s">
        <v>239</v>
      </c>
      <c r="G11" s="138" t="s">
        <v>240</v>
      </c>
      <c r="H11" s="138" t="s">
        <v>241</v>
      </c>
      <c r="I11" s="138" t="s">
        <v>237</v>
      </c>
      <c r="J11" s="138" t="s">
        <v>242</v>
      </c>
      <c r="K11" s="138" t="s">
        <v>243</v>
      </c>
      <c r="L11" s="116"/>
    </row>
    <row r="12" spans="3:12" ht="15" customHeight="1">
      <c r="C12" s="115"/>
      <c r="D12" s="155" t="s">
        <v>48</v>
      </c>
      <c r="E12" s="157">
        <v>0.6</v>
      </c>
      <c r="F12" s="157">
        <v>47.7</v>
      </c>
      <c r="G12" s="157">
        <v>32.299999999999997</v>
      </c>
      <c r="H12" s="157">
        <v>6</v>
      </c>
      <c r="I12" s="157">
        <v>13.3</v>
      </c>
      <c r="J12" s="158">
        <v>48.3</v>
      </c>
      <c r="K12" s="158">
        <v>38.4</v>
      </c>
      <c r="L12" s="116"/>
    </row>
    <row r="13" spans="3:12" ht="15" customHeight="1">
      <c r="C13" s="115"/>
      <c r="D13" s="156" t="s">
        <v>47</v>
      </c>
      <c r="E13" s="161">
        <v>10.6</v>
      </c>
      <c r="F13" s="161">
        <v>60.5</v>
      </c>
      <c r="G13" s="161">
        <v>21.4</v>
      </c>
      <c r="H13" s="161">
        <v>2.8</v>
      </c>
      <c r="I13" s="161">
        <v>4.5999999999999996</v>
      </c>
      <c r="J13" s="160">
        <v>71.099999999999994</v>
      </c>
      <c r="K13" s="160">
        <v>24.2</v>
      </c>
      <c r="L13" s="116"/>
    </row>
    <row r="14" spans="3:12" ht="15" customHeight="1">
      <c r="C14" s="115"/>
      <c r="D14" s="156" t="s">
        <v>151</v>
      </c>
      <c r="E14" s="161">
        <v>7</v>
      </c>
      <c r="F14" s="161">
        <v>42.6</v>
      </c>
      <c r="G14" s="161">
        <v>26.1</v>
      </c>
      <c r="H14" s="161">
        <v>12.2</v>
      </c>
      <c r="I14" s="161">
        <v>12.1</v>
      </c>
      <c r="J14" s="160">
        <v>49.6</v>
      </c>
      <c r="K14" s="160">
        <v>38.299999999999997</v>
      </c>
      <c r="L14" s="116"/>
    </row>
    <row r="15" spans="3:12" ht="15" customHeight="1">
      <c r="D15" s="120"/>
      <c r="E15" s="120"/>
      <c r="F15" s="120"/>
      <c r="G15" s="120"/>
      <c r="H15" s="120"/>
      <c r="I15" s="120"/>
      <c r="J15" s="120"/>
      <c r="K15" s="120"/>
    </row>
    <row r="16" spans="3:12" ht="15" customHeight="1">
      <c r="D16" s="102" t="s">
        <v>172</v>
      </c>
    </row>
    <row r="17" spans="3:9" ht="15" customHeight="1">
      <c r="D17" s="118"/>
      <c r="E17" s="118"/>
      <c r="F17" s="118"/>
      <c r="G17" s="118"/>
      <c r="H17" s="103" t="s">
        <v>155</v>
      </c>
    </row>
    <row r="18" spans="3:9" ht="30" customHeight="1">
      <c r="C18" s="115"/>
      <c r="D18" s="138"/>
      <c r="E18" s="138" t="s">
        <v>244</v>
      </c>
      <c r="F18" s="138" t="s">
        <v>169</v>
      </c>
      <c r="G18" s="138" t="s">
        <v>173</v>
      </c>
      <c r="H18" s="138" t="s">
        <v>69</v>
      </c>
      <c r="I18" s="119"/>
    </row>
    <row r="19" spans="3:9" ht="15" customHeight="1">
      <c r="C19" s="115"/>
      <c r="D19" s="155" t="s">
        <v>48</v>
      </c>
      <c r="E19" s="157">
        <v>10.1</v>
      </c>
      <c r="F19" s="157">
        <v>46.8</v>
      </c>
      <c r="G19" s="157">
        <v>37.9</v>
      </c>
      <c r="H19" s="157">
        <v>5.2</v>
      </c>
      <c r="I19" s="119"/>
    </row>
    <row r="20" spans="3:9" ht="15" customHeight="1">
      <c r="C20" s="115"/>
      <c r="D20" s="156" t="s">
        <v>47</v>
      </c>
      <c r="E20" s="161">
        <v>5.3</v>
      </c>
      <c r="F20" s="161">
        <v>70.900000000000006</v>
      </c>
      <c r="G20" s="161">
        <v>18.100000000000001</v>
      </c>
      <c r="H20" s="161">
        <v>5.8</v>
      </c>
      <c r="I20" s="119"/>
    </row>
    <row r="21" spans="3:9" ht="15" customHeight="1">
      <c r="C21" s="115"/>
      <c r="D21" s="156" t="s">
        <v>151</v>
      </c>
      <c r="E21" s="161">
        <v>10.8</v>
      </c>
      <c r="F21" s="161">
        <v>38.200000000000003</v>
      </c>
      <c r="G21" s="161">
        <v>47.1</v>
      </c>
      <c r="H21" s="161">
        <v>4</v>
      </c>
      <c r="I21" s="119"/>
    </row>
    <row r="22" spans="3:9">
      <c r="D22" s="120"/>
      <c r="E22" s="120"/>
      <c r="F22" s="120"/>
      <c r="G22" s="120"/>
      <c r="H22" s="120"/>
    </row>
  </sheetData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5DE8-D8FE-460C-953D-FC09CC1BDFBD}">
  <dimension ref="A1:O47"/>
  <sheetViews>
    <sheetView tabSelected="1" topLeftCell="A12" workbookViewId="0">
      <selection activeCell="J21" sqref="J21:M39"/>
    </sheetView>
  </sheetViews>
  <sheetFormatPr defaultRowHeight="16.5"/>
  <cols>
    <col min="1" max="1" width="18.625" bestFit="1" customWidth="1"/>
    <col min="10" max="10" width="18.625" bestFit="1" customWidth="1"/>
    <col min="11" max="13" width="10.625" customWidth="1"/>
  </cols>
  <sheetData>
    <row r="1" spans="1:11" ht="17.25" thickTop="1">
      <c r="B1" s="226"/>
      <c r="C1" s="228" t="s">
        <v>245</v>
      </c>
      <c r="D1" s="16" t="s">
        <v>246</v>
      </c>
      <c r="E1" s="228" t="s">
        <v>70</v>
      </c>
      <c r="F1" s="228" t="s">
        <v>71</v>
      </c>
      <c r="G1" s="16" t="s">
        <v>246</v>
      </c>
      <c r="H1" s="230" t="s">
        <v>247</v>
      </c>
      <c r="I1" s="230" t="s">
        <v>248</v>
      </c>
      <c r="J1" s="232" t="s">
        <v>249</v>
      </c>
      <c r="K1" s="232" t="s">
        <v>250</v>
      </c>
    </row>
    <row r="2" spans="1:11" ht="17.25" thickBot="1">
      <c r="B2" s="227"/>
      <c r="C2" s="229"/>
      <c r="D2" s="222" t="s">
        <v>70</v>
      </c>
      <c r="E2" s="229"/>
      <c r="F2" s="229"/>
      <c r="G2" s="222" t="s">
        <v>71</v>
      </c>
      <c r="H2" s="231"/>
      <c r="I2" s="231"/>
      <c r="J2" s="233"/>
      <c r="K2" s="233"/>
    </row>
    <row r="3" spans="1:11" ht="17.25" thickTop="1">
      <c r="A3" t="s">
        <v>251</v>
      </c>
      <c r="B3" s="18" t="s">
        <v>47</v>
      </c>
      <c r="C3" s="48">
        <v>-1063</v>
      </c>
      <c r="D3" s="48">
        <v>19.3</v>
      </c>
      <c r="E3" s="48">
        <v>60.6</v>
      </c>
      <c r="F3" s="48">
        <v>18.399999999999999</v>
      </c>
      <c r="G3" s="48">
        <v>1.6</v>
      </c>
      <c r="H3" s="234">
        <v>79.900000000000006</v>
      </c>
      <c r="I3" s="234">
        <v>20.100000000000001</v>
      </c>
      <c r="J3" s="235">
        <v>2</v>
      </c>
      <c r="K3" s="235">
        <v>0.67</v>
      </c>
    </row>
    <row r="4" spans="1:11">
      <c r="B4" s="19" t="s">
        <v>48</v>
      </c>
      <c r="C4" s="44">
        <v>-320</v>
      </c>
      <c r="D4" s="44">
        <v>10</v>
      </c>
      <c r="E4" s="44">
        <v>49.1</v>
      </c>
      <c r="F4" s="44">
        <v>35.700000000000003</v>
      </c>
      <c r="G4" s="44">
        <v>5.2</v>
      </c>
      <c r="H4" s="236">
        <v>59.1</v>
      </c>
      <c r="I4" s="236">
        <v>40.9</v>
      </c>
      <c r="J4" s="237">
        <v>2.4</v>
      </c>
      <c r="K4" s="237">
        <v>0.73</v>
      </c>
    </row>
    <row r="5" spans="1:11">
      <c r="A5" t="s">
        <v>252</v>
      </c>
      <c r="B5" s="18" t="s">
        <v>47</v>
      </c>
      <c r="C5" s="48">
        <v>-1063</v>
      </c>
      <c r="D5" s="48">
        <v>39.700000000000003</v>
      </c>
      <c r="E5" s="48">
        <v>49.4</v>
      </c>
      <c r="F5" s="48">
        <v>8.9</v>
      </c>
      <c r="G5" s="48">
        <v>2</v>
      </c>
      <c r="H5" s="234">
        <v>89.1</v>
      </c>
      <c r="I5" s="234">
        <v>10.9</v>
      </c>
      <c r="J5" s="235">
        <v>1.7</v>
      </c>
      <c r="K5" s="235">
        <v>0.7</v>
      </c>
    </row>
    <row r="6" spans="1:11">
      <c r="B6" s="19" t="s">
        <v>48</v>
      </c>
      <c r="C6" s="44">
        <v>-320</v>
      </c>
      <c r="D6" s="44">
        <v>17.100000000000001</v>
      </c>
      <c r="E6" s="44">
        <v>47.8</v>
      </c>
      <c r="F6" s="44">
        <v>29.8</v>
      </c>
      <c r="G6" s="44">
        <v>5.3</v>
      </c>
      <c r="H6" s="236">
        <v>64.900000000000006</v>
      </c>
      <c r="I6" s="236">
        <v>35.1</v>
      </c>
      <c r="J6" s="237">
        <v>2.2000000000000002</v>
      </c>
      <c r="K6" s="237">
        <v>0.79</v>
      </c>
    </row>
    <row r="7" spans="1:11">
      <c r="A7" t="s">
        <v>253</v>
      </c>
      <c r="B7" s="18" t="s">
        <v>47</v>
      </c>
      <c r="C7" s="48">
        <v>-1063</v>
      </c>
      <c r="D7" s="48">
        <v>19.600000000000001</v>
      </c>
      <c r="E7" s="48">
        <v>55.8</v>
      </c>
      <c r="F7" s="48">
        <v>22.3</v>
      </c>
      <c r="G7" s="48">
        <v>2.2000000000000002</v>
      </c>
      <c r="H7" s="234">
        <v>75.5</v>
      </c>
      <c r="I7" s="234">
        <v>24.5</v>
      </c>
      <c r="J7" s="235">
        <v>2.1</v>
      </c>
      <c r="K7" s="235">
        <v>0.71</v>
      </c>
    </row>
    <row r="8" spans="1:11">
      <c r="B8" s="19" t="s">
        <v>48</v>
      </c>
      <c r="C8" s="44">
        <v>-320</v>
      </c>
      <c r="D8" s="44">
        <v>7.9</v>
      </c>
      <c r="E8" s="44">
        <v>39</v>
      </c>
      <c r="F8" s="44">
        <v>43</v>
      </c>
      <c r="G8" s="44">
        <v>10</v>
      </c>
      <c r="H8" s="236">
        <v>46.9</v>
      </c>
      <c r="I8" s="236">
        <v>53.1</v>
      </c>
      <c r="J8" s="237">
        <v>2.6</v>
      </c>
      <c r="K8" s="237">
        <v>0.78</v>
      </c>
    </row>
    <row r="9" spans="1:11">
      <c r="A9" t="s">
        <v>254</v>
      </c>
      <c r="B9" s="18" t="s">
        <v>47</v>
      </c>
      <c r="C9" s="48">
        <v>-1063</v>
      </c>
      <c r="D9" s="48">
        <v>14.9</v>
      </c>
      <c r="E9" s="48">
        <v>40.1</v>
      </c>
      <c r="F9" s="48">
        <v>34.299999999999997</v>
      </c>
      <c r="G9" s="48">
        <v>10.7</v>
      </c>
      <c r="H9" s="234">
        <v>55</v>
      </c>
      <c r="I9" s="234">
        <v>45</v>
      </c>
      <c r="J9" s="235">
        <v>2.4</v>
      </c>
      <c r="K9" s="235">
        <v>0.87</v>
      </c>
    </row>
    <row r="10" spans="1:11">
      <c r="B10" s="19" t="s">
        <v>48</v>
      </c>
      <c r="C10" s="44">
        <v>-320</v>
      </c>
      <c r="D10" s="44">
        <v>19.100000000000001</v>
      </c>
      <c r="E10" s="44">
        <v>46.3</v>
      </c>
      <c r="F10" s="44">
        <v>26.7</v>
      </c>
      <c r="G10" s="44">
        <v>8</v>
      </c>
      <c r="H10" s="236">
        <v>65.3</v>
      </c>
      <c r="I10" s="236">
        <v>34.700000000000003</v>
      </c>
      <c r="J10" s="237">
        <v>2.2000000000000002</v>
      </c>
      <c r="K10" s="237">
        <v>0.85</v>
      </c>
    </row>
    <row r="11" spans="1:11">
      <c r="A11" t="s">
        <v>255</v>
      </c>
      <c r="B11" s="18" t="s">
        <v>47</v>
      </c>
      <c r="C11" s="48">
        <v>-1063</v>
      </c>
      <c r="D11" s="48">
        <v>2</v>
      </c>
      <c r="E11" s="48">
        <v>19</v>
      </c>
      <c r="F11" s="48">
        <v>62.9</v>
      </c>
      <c r="G11" s="48">
        <v>16.100000000000001</v>
      </c>
      <c r="H11" s="234">
        <v>21</v>
      </c>
      <c r="I11" s="234">
        <v>79</v>
      </c>
      <c r="J11" s="235">
        <v>2.9</v>
      </c>
      <c r="K11" s="235">
        <v>0.65</v>
      </c>
    </row>
    <row r="12" spans="1:11">
      <c r="B12" s="19" t="s">
        <v>48</v>
      </c>
      <c r="C12" s="44">
        <v>-320</v>
      </c>
      <c r="D12" s="44">
        <v>2.6</v>
      </c>
      <c r="E12" s="44">
        <v>31</v>
      </c>
      <c r="F12" s="44">
        <v>55.8</v>
      </c>
      <c r="G12" s="44">
        <v>10.6</v>
      </c>
      <c r="H12" s="236">
        <v>33.6</v>
      </c>
      <c r="I12" s="236">
        <v>66.400000000000006</v>
      </c>
      <c r="J12" s="237">
        <v>2.7</v>
      </c>
      <c r="K12" s="237">
        <v>0.67</v>
      </c>
    </row>
    <row r="13" spans="1:11">
      <c r="A13" t="s">
        <v>256</v>
      </c>
      <c r="B13" s="18" t="s">
        <v>47</v>
      </c>
      <c r="C13" s="48">
        <v>-1063</v>
      </c>
      <c r="D13" s="48">
        <v>17.899999999999999</v>
      </c>
      <c r="E13" s="48">
        <v>63.9</v>
      </c>
      <c r="F13" s="48">
        <v>14.2</v>
      </c>
      <c r="G13" s="48">
        <v>4</v>
      </c>
      <c r="H13" s="234">
        <v>81.8</v>
      </c>
      <c r="I13" s="234">
        <v>18.2</v>
      </c>
      <c r="J13" s="235">
        <v>2</v>
      </c>
      <c r="K13" s="235">
        <v>0.69</v>
      </c>
    </row>
    <row r="14" spans="1:11">
      <c r="B14" s="19" t="s">
        <v>48</v>
      </c>
      <c r="C14" s="44">
        <v>-320</v>
      </c>
      <c r="D14" s="44">
        <v>10</v>
      </c>
      <c r="E14" s="44">
        <v>49.8</v>
      </c>
      <c r="F14" s="44">
        <v>25.4</v>
      </c>
      <c r="G14" s="44">
        <v>14.8</v>
      </c>
      <c r="H14" s="236">
        <v>59.8</v>
      </c>
      <c r="I14" s="236">
        <v>40.200000000000003</v>
      </c>
      <c r="J14" s="237">
        <v>2.5</v>
      </c>
      <c r="K14" s="237">
        <v>0.86</v>
      </c>
    </row>
    <row r="19" spans="1:13" ht="17.25" thickBot="1"/>
    <row r="20" spans="1:13" ht="17.25" thickTop="1">
      <c r="A20" s="238"/>
      <c r="B20" s="226"/>
      <c r="C20" s="230" t="s">
        <v>247</v>
      </c>
      <c r="D20" s="230" t="s">
        <v>248</v>
      </c>
    </row>
    <row r="21" spans="1:13" ht="15.6" customHeight="1" thickBot="1">
      <c r="A21" s="238"/>
      <c r="B21" s="227"/>
      <c r="C21" s="231"/>
      <c r="D21" s="231"/>
      <c r="J21" s="244" t="s">
        <v>257</v>
      </c>
      <c r="K21" s="244" t="s">
        <v>258</v>
      </c>
      <c r="L21" s="244" t="s">
        <v>259</v>
      </c>
      <c r="M21" s="244" t="s">
        <v>260</v>
      </c>
    </row>
    <row r="22" spans="1:13" ht="15.6" customHeight="1" thickTop="1">
      <c r="A22" s="239" t="s">
        <v>251</v>
      </c>
      <c r="B22" s="18" t="s">
        <v>47</v>
      </c>
      <c r="C22" s="240">
        <v>79.900000000000006</v>
      </c>
      <c r="D22" s="240">
        <v>20.100000000000001</v>
      </c>
      <c r="E22" s="19" t="s">
        <v>48</v>
      </c>
      <c r="F22" s="241">
        <v>59.1</v>
      </c>
      <c r="G22" s="241">
        <v>40.9</v>
      </c>
      <c r="J22" s="245" t="s">
        <v>251</v>
      </c>
      <c r="K22" s="139" t="s">
        <v>48</v>
      </c>
      <c r="L22" s="161">
        <v>59.1</v>
      </c>
      <c r="M22" s="161">
        <v>40.9</v>
      </c>
    </row>
    <row r="23" spans="1:13" ht="15.6" customHeight="1" thickBot="1">
      <c r="A23" s="239"/>
      <c r="B23" s="19" t="s">
        <v>48</v>
      </c>
      <c r="C23" s="241">
        <v>59.1</v>
      </c>
      <c r="D23" s="241">
        <v>40.9</v>
      </c>
      <c r="E23" s="18" t="s">
        <v>47</v>
      </c>
      <c r="F23" s="240">
        <v>79.900000000000006</v>
      </c>
      <c r="G23" s="240">
        <v>20.100000000000001</v>
      </c>
      <c r="J23" s="245"/>
      <c r="K23" s="139" t="s">
        <v>47</v>
      </c>
      <c r="L23" s="161">
        <v>79.900000000000006</v>
      </c>
      <c r="M23" s="161">
        <v>20.100000000000001</v>
      </c>
    </row>
    <row r="24" spans="1:13" ht="15.6" customHeight="1" thickTop="1" thickBot="1">
      <c r="A24" s="242"/>
      <c r="B24" s="243" t="s">
        <v>151</v>
      </c>
      <c r="C24" s="224">
        <v>60.4</v>
      </c>
      <c r="D24" s="224">
        <v>39.6</v>
      </c>
      <c r="E24" s="243" t="s">
        <v>151</v>
      </c>
      <c r="F24" s="224">
        <v>60.4</v>
      </c>
      <c r="G24" s="224">
        <v>39.6</v>
      </c>
      <c r="J24" s="245"/>
      <c r="K24" s="139" t="s">
        <v>151</v>
      </c>
      <c r="L24" s="156">
        <v>60.4</v>
      </c>
      <c r="M24" s="156">
        <v>39.6</v>
      </c>
    </row>
    <row r="25" spans="1:13" ht="15.6" customHeight="1" thickTop="1">
      <c r="A25" s="239" t="s">
        <v>252</v>
      </c>
      <c r="B25" s="18" t="s">
        <v>47</v>
      </c>
      <c r="C25" s="240">
        <v>89.1</v>
      </c>
      <c r="D25" s="240">
        <v>10.9</v>
      </c>
      <c r="E25" s="19" t="s">
        <v>48</v>
      </c>
      <c r="F25" s="241">
        <v>64.900000000000006</v>
      </c>
      <c r="G25" s="241">
        <v>35.1</v>
      </c>
      <c r="J25" s="245" t="s">
        <v>252</v>
      </c>
      <c r="K25" s="139" t="s">
        <v>48</v>
      </c>
      <c r="L25" s="161">
        <v>64.900000000000006</v>
      </c>
      <c r="M25" s="161">
        <v>35.1</v>
      </c>
    </row>
    <row r="26" spans="1:13" ht="15.6" customHeight="1" thickBot="1">
      <c r="A26" s="239"/>
      <c r="B26" s="19" t="s">
        <v>48</v>
      </c>
      <c r="C26" s="241">
        <v>64.900000000000006</v>
      </c>
      <c r="D26" s="241">
        <v>35.1</v>
      </c>
      <c r="E26" s="18" t="s">
        <v>47</v>
      </c>
      <c r="F26" s="240">
        <v>89.1</v>
      </c>
      <c r="G26" s="240">
        <v>10.9</v>
      </c>
      <c r="J26" s="245"/>
      <c r="K26" s="139" t="s">
        <v>47</v>
      </c>
      <c r="L26" s="161">
        <v>89.1</v>
      </c>
      <c r="M26" s="161">
        <v>10.9</v>
      </c>
    </row>
    <row r="27" spans="1:13" ht="15.6" customHeight="1" thickTop="1" thickBot="1">
      <c r="A27" s="242"/>
      <c r="B27" s="243" t="s">
        <v>151</v>
      </c>
      <c r="C27" s="224">
        <v>68.8</v>
      </c>
      <c r="D27" s="224">
        <v>31.2</v>
      </c>
      <c r="E27" s="243" t="s">
        <v>151</v>
      </c>
      <c r="F27" s="224">
        <v>68.8</v>
      </c>
      <c r="G27" s="224">
        <v>31.2</v>
      </c>
      <c r="J27" s="245"/>
      <c r="K27" s="139" t="s">
        <v>151</v>
      </c>
      <c r="L27" s="156">
        <v>68.8</v>
      </c>
      <c r="M27" s="156">
        <v>31.2</v>
      </c>
    </row>
    <row r="28" spans="1:13" ht="15.6" customHeight="1" thickTop="1">
      <c r="A28" s="239" t="s">
        <v>253</v>
      </c>
      <c r="B28" s="18" t="s">
        <v>47</v>
      </c>
      <c r="C28" s="240">
        <v>75.5</v>
      </c>
      <c r="D28" s="240">
        <v>24.5</v>
      </c>
      <c r="E28" s="19" t="s">
        <v>48</v>
      </c>
      <c r="F28" s="241">
        <v>46.9</v>
      </c>
      <c r="G28" s="241">
        <v>53.1</v>
      </c>
      <c r="J28" s="245" t="s">
        <v>253</v>
      </c>
      <c r="K28" s="139" t="s">
        <v>48</v>
      </c>
      <c r="L28" s="161">
        <v>46.9</v>
      </c>
      <c r="M28" s="161">
        <v>53.1</v>
      </c>
    </row>
    <row r="29" spans="1:13" ht="15.6" customHeight="1" thickBot="1">
      <c r="A29" s="239"/>
      <c r="B29" s="19" t="s">
        <v>48</v>
      </c>
      <c r="C29" s="241">
        <v>46.9</v>
      </c>
      <c r="D29" s="241">
        <v>53.1</v>
      </c>
      <c r="E29" s="18" t="s">
        <v>47</v>
      </c>
      <c r="F29" s="240">
        <v>75.5</v>
      </c>
      <c r="G29" s="240">
        <v>24.5</v>
      </c>
      <c r="J29" s="245"/>
      <c r="K29" s="139" t="s">
        <v>47</v>
      </c>
      <c r="L29" s="161">
        <v>75.5</v>
      </c>
      <c r="M29" s="161">
        <v>24.5</v>
      </c>
    </row>
    <row r="30" spans="1:13" ht="15.6" customHeight="1" thickTop="1" thickBot="1">
      <c r="A30" s="242"/>
      <c r="B30" s="243" t="s">
        <v>151</v>
      </c>
      <c r="C30" s="224">
        <v>53.3</v>
      </c>
      <c r="D30" s="224">
        <v>46.7</v>
      </c>
      <c r="E30" s="243" t="s">
        <v>151</v>
      </c>
      <c r="F30" s="224">
        <v>53.3</v>
      </c>
      <c r="G30" s="224">
        <v>46.7</v>
      </c>
      <c r="J30" s="245"/>
      <c r="K30" s="139" t="s">
        <v>151</v>
      </c>
      <c r="L30" s="156">
        <v>53.3</v>
      </c>
      <c r="M30" s="156">
        <v>46.7</v>
      </c>
    </row>
    <row r="31" spans="1:13" ht="15.6" customHeight="1" thickTop="1">
      <c r="A31" s="239" t="s">
        <v>254</v>
      </c>
      <c r="B31" s="18" t="s">
        <v>47</v>
      </c>
      <c r="C31" s="240">
        <v>55</v>
      </c>
      <c r="D31" s="240">
        <v>45</v>
      </c>
      <c r="E31" s="19" t="s">
        <v>48</v>
      </c>
      <c r="F31" s="241">
        <v>65.3</v>
      </c>
      <c r="G31" s="241">
        <v>34.700000000000003</v>
      </c>
      <c r="J31" s="245" t="s">
        <v>254</v>
      </c>
      <c r="K31" s="139" t="s">
        <v>48</v>
      </c>
      <c r="L31" s="161">
        <v>65.3</v>
      </c>
      <c r="M31" s="161">
        <v>34.700000000000003</v>
      </c>
    </row>
    <row r="32" spans="1:13" ht="15.6" customHeight="1" thickBot="1">
      <c r="A32" s="239"/>
      <c r="B32" s="19" t="s">
        <v>48</v>
      </c>
      <c r="C32" s="241">
        <v>65.3</v>
      </c>
      <c r="D32" s="241">
        <v>34.700000000000003</v>
      </c>
      <c r="E32" s="18" t="s">
        <v>47</v>
      </c>
      <c r="F32" s="240">
        <v>55</v>
      </c>
      <c r="G32" s="240">
        <v>45</v>
      </c>
      <c r="J32" s="245"/>
      <c r="K32" s="139" t="s">
        <v>47</v>
      </c>
      <c r="L32" s="161">
        <v>55</v>
      </c>
      <c r="M32" s="161">
        <v>45</v>
      </c>
    </row>
    <row r="33" spans="1:15" ht="15.6" customHeight="1" thickTop="1" thickBot="1">
      <c r="A33" s="242"/>
      <c r="B33" s="243" t="s">
        <v>151</v>
      </c>
      <c r="C33" s="224">
        <v>65.2</v>
      </c>
      <c r="D33" s="224">
        <v>34.799999999999997</v>
      </c>
      <c r="E33" s="243" t="s">
        <v>151</v>
      </c>
      <c r="F33" s="224">
        <v>65.2</v>
      </c>
      <c r="G33" s="224">
        <v>34.799999999999997</v>
      </c>
      <c r="J33" s="245"/>
      <c r="K33" s="139" t="s">
        <v>151</v>
      </c>
      <c r="L33" s="156">
        <v>65.2</v>
      </c>
      <c r="M33" s="156">
        <v>34.799999999999997</v>
      </c>
    </row>
    <row r="34" spans="1:15" ht="15.6" customHeight="1" thickTop="1">
      <c r="A34" s="239" t="s">
        <v>255</v>
      </c>
      <c r="B34" s="18" t="s">
        <v>47</v>
      </c>
      <c r="C34" s="240">
        <v>21</v>
      </c>
      <c r="D34" s="240">
        <v>79</v>
      </c>
      <c r="E34" s="19" t="s">
        <v>48</v>
      </c>
      <c r="F34" s="241">
        <v>33.6</v>
      </c>
      <c r="G34" s="241">
        <v>66.400000000000006</v>
      </c>
      <c r="J34" s="245" t="s">
        <v>255</v>
      </c>
      <c r="K34" s="139" t="s">
        <v>48</v>
      </c>
      <c r="L34" s="161">
        <v>33.6</v>
      </c>
      <c r="M34" s="161">
        <v>66.400000000000006</v>
      </c>
    </row>
    <row r="35" spans="1:15" ht="15.6" customHeight="1" thickBot="1">
      <c r="A35" s="239"/>
      <c r="B35" s="19" t="s">
        <v>48</v>
      </c>
      <c r="C35" s="241">
        <v>33.6</v>
      </c>
      <c r="D35" s="241">
        <v>66.400000000000006</v>
      </c>
      <c r="E35" s="18" t="s">
        <v>47</v>
      </c>
      <c r="F35" s="240">
        <v>21</v>
      </c>
      <c r="G35" s="240">
        <v>79</v>
      </c>
      <c r="J35" s="245"/>
      <c r="K35" s="139" t="s">
        <v>47</v>
      </c>
      <c r="L35" s="161">
        <v>21</v>
      </c>
      <c r="M35" s="161">
        <v>79</v>
      </c>
    </row>
    <row r="36" spans="1:15" ht="15.6" customHeight="1" thickTop="1" thickBot="1">
      <c r="A36" s="242"/>
      <c r="B36" s="243" t="s">
        <v>151</v>
      </c>
      <c r="C36" s="224">
        <v>35.4</v>
      </c>
      <c r="D36" s="224">
        <v>64.599999999999994</v>
      </c>
      <c r="E36" s="243" t="s">
        <v>151</v>
      </c>
      <c r="F36" s="224">
        <v>35.4</v>
      </c>
      <c r="G36" s="224">
        <v>64.599999999999994</v>
      </c>
      <c r="J36" s="245"/>
      <c r="K36" s="139" t="s">
        <v>151</v>
      </c>
      <c r="L36" s="156">
        <v>35.4</v>
      </c>
      <c r="M36" s="156">
        <v>64.599999999999994</v>
      </c>
    </row>
    <row r="37" spans="1:15" ht="15.6" customHeight="1" thickTop="1">
      <c r="A37" s="239" t="s">
        <v>256</v>
      </c>
      <c r="B37" s="18" t="s">
        <v>47</v>
      </c>
      <c r="C37" s="240">
        <v>81.8</v>
      </c>
      <c r="D37" s="240">
        <v>18.2</v>
      </c>
      <c r="E37" s="19" t="s">
        <v>48</v>
      </c>
      <c r="F37" s="241">
        <v>59.8</v>
      </c>
      <c r="G37" s="241">
        <v>40.200000000000003</v>
      </c>
      <c r="J37" s="245" t="s">
        <v>256</v>
      </c>
      <c r="K37" s="139" t="s">
        <v>48</v>
      </c>
      <c r="L37" s="161">
        <v>59.8</v>
      </c>
      <c r="M37" s="161">
        <v>40.200000000000003</v>
      </c>
    </row>
    <row r="38" spans="1:15" ht="15.6" customHeight="1" thickBot="1">
      <c r="A38" s="239"/>
      <c r="B38" s="19" t="s">
        <v>48</v>
      </c>
      <c r="C38" s="241">
        <v>59.8</v>
      </c>
      <c r="D38" s="241">
        <v>40.200000000000003</v>
      </c>
      <c r="E38" s="18" t="s">
        <v>47</v>
      </c>
      <c r="F38" s="240">
        <v>81.8</v>
      </c>
      <c r="G38" s="240">
        <v>18.2</v>
      </c>
      <c r="J38" s="245"/>
      <c r="K38" s="139" t="s">
        <v>47</v>
      </c>
      <c r="L38" s="161">
        <v>81.8</v>
      </c>
      <c r="M38" s="161">
        <v>18.2</v>
      </c>
    </row>
    <row r="39" spans="1:15" ht="15.6" customHeight="1" thickTop="1" thickBot="1">
      <c r="B39" s="243" t="s">
        <v>151</v>
      </c>
      <c r="C39" s="224">
        <v>64.099999999999994</v>
      </c>
      <c r="D39" s="224">
        <v>35.9</v>
      </c>
      <c r="E39" s="243" t="s">
        <v>151</v>
      </c>
      <c r="F39" s="224">
        <v>64.099999999999994</v>
      </c>
      <c r="G39" s="224">
        <v>35.9</v>
      </c>
      <c r="J39" s="245"/>
      <c r="K39" s="139" t="s">
        <v>151</v>
      </c>
      <c r="L39" s="156">
        <v>64.099999999999994</v>
      </c>
      <c r="M39" s="156">
        <v>35.9</v>
      </c>
    </row>
    <row r="40" spans="1:15" ht="17.25" thickTop="1"/>
    <row r="44" spans="1:15">
      <c r="J44" t="s">
        <v>251</v>
      </c>
      <c r="K44" t="s">
        <v>252</v>
      </c>
      <c r="L44" t="s">
        <v>253</v>
      </c>
      <c r="M44" t="s">
        <v>254</v>
      </c>
      <c r="N44" t="s">
        <v>255</v>
      </c>
      <c r="O44" t="s">
        <v>256</v>
      </c>
    </row>
    <row r="45" spans="1:15">
      <c r="I45" s="19" t="s">
        <v>48</v>
      </c>
      <c r="J45" s="241">
        <v>59.1</v>
      </c>
      <c r="K45" s="241">
        <v>64.900000000000006</v>
      </c>
      <c r="L45" s="241">
        <v>46.9</v>
      </c>
      <c r="M45" s="241">
        <v>65.3</v>
      </c>
      <c r="N45" s="241">
        <v>33.6</v>
      </c>
      <c r="O45" s="241">
        <v>59.8</v>
      </c>
    </row>
    <row r="46" spans="1:15">
      <c r="I46" s="18" t="s">
        <v>47</v>
      </c>
      <c r="J46" s="240">
        <v>79.900000000000006</v>
      </c>
      <c r="K46" s="240">
        <v>89.1</v>
      </c>
      <c r="L46" s="240">
        <v>75.5</v>
      </c>
      <c r="M46" s="240">
        <v>55</v>
      </c>
      <c r="N46" s="240">
        <v>21</v>
      </c>
      <c r="O46" s="240">
        <v>81.8</v>
      </c>
    </row>
    <row r="47" spans="1:15">
      <c r="I47" s="18" t="s">
        <v>261</v>
      </c>
      <c r="J47" s="156">
        <v>60.4</v>
      </c>
      <c r="K47" s="156">
        <v>68.8</v>
      </c>
      <c r="L47" s="156">
        <v>53.3</v>
      </c>
      <c r="M47" s="156">
        <v>65.2</v>
      </c>
      <c r="N47" s="156">
        <v>35.4</v>
      </c>
      <c r="O47" s="156">
        <v>64.099999999999994</v>
      </c>
    </row>
  </sheetData>
  <mergeCells count="24">
    <mergeCell ref="J22:J24"/>
    <mergeCell ref="J25:J27"/>
    <mergeCell ref="J28:J30"/>
    <mergeCell ref="J31:J33"/>
    <mergeCell ref="J34:J36"/>
    <mergeCell ref="J37:J39"/>
    <mergeCell ref="A20:A21"/>
    <mergeCell ref="A22:A23"/>
    <mergeCell ref="A25:A26"/>
    <mergeCell ref="A28:A29"/>
    <mergeCell ref="A31:A32"/>
    <mergeCell ref="A34:A35"/>
    <mergeCell ref="A37:A38"/>
    <mergeCell ref="B20:B21"/>
    <mergeCell ref="C20:C21"/>
    <mergeCell ref="D20:D21"/>
    <mergeCell ref="J1:J2"/>
    <mergeCell ref="K1:K2"/>
    <mergeCell ref="B1:B2"/>
    <mergeCell ref="C1:C2"/>
    <mergeCell ref="E1:E2"/>
    <mergeCell ref="F1:F2"/>
    <mergeCell ref="H1:H2"/>
    <mergeCell ref="I1:I2"/>
  </mergeCells>
  <phoneticPr fontId="6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F70DF5EB7229D43B07112227358BB1E" ma:contentTypeVersion="12" ma:contentTypeDescription="새 문서를 만듭니다." ma:contentTypeScope="" ma:versionID="22c22a957ab1dee50b95c413389aad32">
  <xsd:schema xmlns:xsd="http://www.w3.org/2001/XMLSchema" xmlns:xs="http://www.w3.org/2001/XMLSchema" xmlns:p="http://schemas.microsoft.com/office/2006/metadata/properties" xmlns:ns2="b066b759-8662-4812-be3e-757f1ad2293d" xmlns:ns3="ede0981e-caa1-4e34-b056-7cb7259069de" targetNamespace="http://schemas.microsoft.com/office/2006/metadata/properties" ma:root="true" ma:fieldsID="99271caf908136a0b031c32453db0c57" ns2:_="" ns3:_="">
    <xsd:import namespace="b066b759-8662-4812-be3e-757f1ad2293d"/>
    <xsd:import namespace="ede0981e-caa1-4e34-b056-7cb7259069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6b759-8662-4812-be3e-757f1ad229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이미지 태그" ma:readOnly="false" ma:fieldId="{5cf76f15-5ced-4ddc-b409-7134ff3c332f}" ma:taxonomyMulti="true" ma:sspId="c8710202-2179-478c-b032-76479c6c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e0981e-caa1-4e34-b056-7cb7259069de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72dcf3c-97ba-4344-ae13-eb9ed74bc397}" ma:internalName="TaxCatchAll" ma:showField="CatchAllData" ma:web="ede0981e-caa1-4e34-b056-7cb7259069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66b759-8662-4812-be3e-757f1ad2293d">
      <Terms xmlns="http://schemas.microsoft.com/office/infopath/2007/PartnerControls"/>
    </lcf76f155ced4ddcb4097134ff3c332f>
    <TaxCatchAll xmlns="ede0981e-caa1-4e34-b056-7cb7259069de" xsi:nil="true"/>
  </documentManagement>
</p:properties>
</file>

<file path=customXml/itemProps1.xml><?xml version="1.0" encoding="utf-8"?>
<ds:datastoreItem xmlns:ds="http://schemas.openxmlformats.org/officeDocument/2006/customXml" ds:itemID="{17BC2868-5334-4509-A134-C97C486257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6b759-8662-4812-be3e-757f1ad2293d"/>
    <ds:schemaRef ds:uri="ede0981e-caa1-4e34-b056-7cb7259069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21DA890-72B7-4FCC-BE33-9222AFCD9D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D80DAD-C8C7-4AFF-8C59-F419E6E4993D}">
  <ds:schemaRefs>
    <ds:schemaRef ds:uri="http://schemas.microsoft.com/office/2006/metadata/properties"/>
    <ds:schemaRef ds:uri="http://schemas.microsoft.com/office/infopath/2007/PartnerControls"/>
    <ds:schemaRef ds:uri="b066b759-8662-4812-be3e-757f1ad2293d"/>
    <ds:schemaRef ds:uri="ede0981e-caa1-4e34-b056-7cb7259069d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11</vt:i4>
      </vt:variant>
    </vt:vector>
  </HeadingPairs>
  <TitlesOfParts>
    <vt:vector size="11" baseType="lpstr">
      <vt:lpstr>4p</vt:lpstr>
      <vt:lpstr>4p표</vt:lpstr>
      <vt:lpstr>6-7p</vt:lpstr>
      <vt:lpstr>8p</vt:lpstr>
      <vt:lpstr>6p, 9p 표</vt:lpstr>
      <vt:lpstr>10p 표</vt:lpstr>
      <vt:lpstr>12p</vt:lpstr>
      <vt:lpstr>13p 표</vt:lpstr>
      <vt:lpstr>14-15p</vt:lpstr>
      <vt:lpstr>16p 표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재익</dc:creator>
  <cp:lastModifiedBy>박 재익</cp:lastModifiedBy>
  <dcterms:created xsi:type="dcterms:W3CDTF">2026-03-09T12:14:15Z</dcterms:created>
  <dcterms:modified xsi:type="dcterms:W3CDTF">2026-03-12T04:43:30Z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0x0101009F70DF5EB7229D43B07112227358BB1E</vt:lpwstr>
  </property>
  <property fmtid="{D5CDD505-2E9C-101B-9397-08002B2CF9AE}" pid="3" name="MediaServiceImageTags">
    <vt:lpwstr/>
  </property>
</Properties>
</file>